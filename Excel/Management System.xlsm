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delosanto\Desktop\PROJECTS\Code Editor\GitHub\Public-Projects\Excel\"/>
    </mc:Choice>
  </mc:AlternateContent>
  <xr:revisionPtr revIDLastSave="0" documentId="13_ncr:1_{2BA21521-68FD-44C5-8C68-A9B56D38B1EE}" xr6:coauthVersionLast="36" xr6:coauthVersionMax="47" xr10:uidLastSave="{00000000-0000-0000-0000-000000000000}"/>
  <bookViews>
    <workbookView xWindow="23880" yWindow="-2736" windowWidth="29040" windowHeight="15996" activeTab="2" xr2:uid="{556A9ACD-058C-492E-8F64-FE71BA3D3FDC}"/>
  </bookViews>
  <sheets>
    <sheet name="EMS" sheetId="1" r:id="rId1"/>
    <sheet name="GOV" sheetId="4" r:id="rId2"/>
    <sheet name="PMS" sheetId="2" r:id="rId3"/>
    <sheet name="PMS_DB" sheetId="3" r:id="rId4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" i="1" l="1"/>
  <c r="D18" i="2"/>
  <c r="H7" i="2"/>
  <c r="E18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9" i="2"/>
  <c r="E9" i="2"/>
  <c r="D8" i="2"/>
  <c r="E8" i="2"/>
  <c r="N12" i="2"/>
  <c r="E7" i="2"/>
  <c r="D7" i="2"/>
  <c r="H12" i="2"/>
  <c r="H11" i="2"/>
  <c r="H10" i="2"/>
  <c r="H9" i="2"/>
  <c r="H8" i="2"/>
  <c r="AE3" i="1"/>
  <c r="AF3" i="1"/>
  <c r="AG3" i="1"/>
  <c r="F3" i="1"/>
</calcChain>
</file>

<file path=xl/sharedStrings.xml><?xml version="1.0" encoding="utf-8"?>
<sst xmlns="http://schemas.openxmlformats.org/spreadsheetml/2006/main" count="171" uniqueCount="142">
  <si>
    <t>NO.</t>
  </si>
  <si>
    <t>F.NAME</t>
  </si>
  <si>
    <t>M.I</t>
  </si>
  <si>
    <t>S.NAME</t>
  </si>
  <si>
    <t>EMPLOYEE NO.</t>
  </si>
  <si>
    <t>STREET ADDRESS</t>
  </si>
  <si>
    <t>APARTMENT/ UNIT #</t>
  </si>
  <si>
    <t>CITY</t>
  </si>
  <si>
    <t>PROVINCE</t>
  </si>
  <si>
    <t>POSTAL CODE</t>
  </si>
  <si>
    <t>EMAIL ADDRESS</t>
  </si>
  <si>
    <t>CP NO.</t>
  </si>
  <si>
    <t>TEL. NO.</t>
  </si>
  <si>
    <t>SSS</t>
  </si>
  <si>
    <t>PAG-IBIG</t>
  </si>
  <si>
    <t>PHIL-HEALTH</t>
  </si>
  <si>
    <t>BIRTHDATE</t>
  </si>
  <si>
    <t>CIVIL STATUS</t>
  </si>
  <si>
    <t>COMPAMY STATUS</t>
  </si>
  <si>
    <t>BASIC SALARY</t>
  </si>
  <si>
    <t>ALLOWANCES</t>
  </si>
  <si>
    <t>ALLOWANCE</t>
  </si>
  <si>
    <t>DATE HIRED</t>
  </si>
  <si>
    <t>LAUNDRY</t>
  </si>
  <si>
    <t>RICE</t>
  </si>
  <si>
    <t>MEAL</t>
  </si>
  <si>
    <t>TRANSPO.</t>
  </si>
  <si>
    <t>WORKPLACE SUBS.</t>
  </si>
  <si>
    <t>PROVIDENT FUND.</t>
  </si>
  <si>
    <t>RETRO BASIC PAY</t>
  </si>
  <si>
    <t>BONUS</t>
  </si>
  <si>
    <t>13TH MONTH PAY</t>
  </si>
  <si>
    <t>SSS - SALARY LOAN</t>
  </si>
  <si>
    <t>SSS - CALAMITY LOAN</t>
  </si>
  <si>
    <t>PAG-IBIG CALAMITY LOAN</t>
  </si>
  <si>
    <t>PAG-IBIG SALARY LOAN</t>
  </si>
  <si>
    <t>PAG-IBIG HOUSING LOAN</t>
  </si>
  <si>
    <t>SSS CONTRI.</t>
  </si>
  <si>
    <t>PAG-IBIG CONTRI.</t>
  </si>
  <si>
    <t>PHIL-HEALTH CONTRI.</t>
  </si>
  <si>
    <t>TAX</t>
  </si>
  <si>
    <t>FROM</t>
  </si>
  <si>
    <t>TO</t>
  </si>
  <si>
    <t>PAY DATE</t>
  </si>
  <si>
    <t>EMPLOYEE NAME</t>
  </si>
  <si>
    <t>DAYS</t>
  </si>
  <si>
    <t>AMOUNT</t>
  </si>
  <si>
    <t>TOTAL</t>
  </si>
  <si>
    <t>REGULAR DAY</t>
  </si>
  <si>
    <t>REGULAR OT</t>
  </si>
  <si>
    <t>NIGHT SHIFT</t>
  </si>
  <si>
    <t>NIGHT SHIFT OT</t>
  </si>
  <si>
    <t>HRS</t>
  </si>
  <si>
    <t>SPECIAL HOLIDAYS</t>
  </si>
  <si>
    <t>SPECIAL HOLIDAYS OT</t>
  </si>
  <si>
    <t>COMPANY</t>
  </si>
  <si>
    <t>Employee Name:</t>
  </si>
  <si>
    <t>Employee No:</t>
  </si>
  <si>
    <t>Category</t>
  </si>
  <si>
    <t>Regular Days:</t>
  </si>
  <si>
    <t>Regulat OT:</t>
  </si>
  <si>
    <t>Night Shift OT:</t>
  </si>
  <si>
    <t>Night Shift:</t>
  </si>
  <si>
    <t>Special Holday:</t>
  </si>
  <si>
    <t>Regular Holiday:</t>
  </si>
  <si>
    <t>Regular Holiday OT:</t>
  </si>
  <si>
    <t>REGULAR HOLIDAY</t>
  </si>
  <si>
    <t>REGULAR HOLIDAY OT</t>
  </si>
  <si>
    <t>Tardiness:</t>
  </si>
  <si>
    <t>Days/Hrs</t>
  </si>
  <si>
    <t>Amount</t>
  </si>
  <si>
    <t>Total Amount</t>
  </si>
  <si>
    <t>SSS Contri:</t>
  </si>
  <si>
    <t>Phil.H Contri:</t>
  </si>
  <si>
    <t>Pag-Ibig Contri:</t>
  </si>
  <si>
    <t>SSS Cal. Loan:</t>
  </si>
  <si>
    <t>Special Hol. OT:</t>
  </si>
  <si>
    <t>TRANSPO.:</t>
  </si>
  <si>
    <t>MEAL:</t>
  </si>
  <si>
    <t>RICE:</t>
  </si>
  <si>
    <t>LAUNDRY:</t>
  </si>
  <si>
    <t>WORK.SUBS.:</t>
  </si>
  <si>
    <t>Net Pay:</t>
  </si>
  <si>
    <t>Total Gross:</t>
  </si>
  <si>
    <t>Tax:</t>
  </si>
  <si>
    <t>Pagibig Sal. Loan:</t>
  </si>
  <si>
    <t>Pagibig Cal. Loan:</t>
  </si>
  <si>
    <t>Pagibig Hous. Loan:</t>
  </si>
  <si>
    <t>To:</t>
  </si>
  <si>
    <t>From:</t>
  </si>
  <si>
    <t>Pay Date:</t>
  </si>
  <si>
    <t>Dependent</t>
  </si>
  <si>
    <t>TARDINESS</t>
  </si>
  <si>
    <t>ALLOWANCE:</t>
  </si>
  <si>
    <t>HMO W/</t>
  </si>
  <si>
    <t>HMO:</t>
  </si>
  <si>
    <t>Basic Salary:</t>
  </si>
  <si>
    <t>BIR</t>
  </si>
  <si>
    <t>Jasond</t>
  </si>
  <si>
    <t>Villaranda</t>
  </si>
  <si>
    <t>Delos Santos</t>
  </si>
  <si>
    <t>FULL NAME</t>
  </si>
  <si>
    <t>Jasond V. Delos Santos</t>
  </si>
  <si>
    <t>SALARY</t>
  </si>
  <si>
    <t>CUT OFF</t>
  </si>
  <si>
    <t>PER DAY</t>
  </si>
  <si>
    <t>PER HOUR</t>
  </si>
  <si>
    <t>REGULAR</t>
  </si>
  <si>
    <t>123-456-789</t>
  </si>
  <si>
    <t>123-456-790</t>
  </si>
  <si>
    <t>SSS Sal. Loan:</t>
  </si>
  <si>
    <t>Personal Income TAX</t>
  </si>
  <si>
    <t>Dividend</t>
  </si>
  <si>
    <t>Interest</t>
  </si>
  <si>
    <t>Royalty</t>
  </si>
  <si>
    <t>Technical Fee</t>
  </si>
  <si>
    <t>Regular Holiday</t>
  </si>
  <si>
    <t>Special Holiday</t>
  </si>
  <si>
    <t>Rest Day Pay</t>
  </si>
  <si>
    <t>Regular OT</t>
  </si>
  <si>
    <t>Special Holiday OT</t>
  </si>
  <si>
    <t>Regular Holiday OT</t>
  </si>
  <si>
    <t>Employer</t>
  </si>
  <si>
    <t>Government</t>
  </si>
  <si>
    <t>OT , Night Shif t&amp; Holiday</t>
  </si>
  <si>
    <t>Night Shift</t>
  </si>
  <si>
    <t>Night Shift OT</t>
  </si>
  <si>
    <t>Special Holiday &amp; RD</t>
  </si>
  <si>
    <t>Regular Holiday and RD</t>
  </si>
  <si>
    <t>Special Holiday &amp; RD:</t>
  </si>
  <si>
    <t>Regular Holiday &amp; RD:</t>
  </si>
  <si>
    <t>Rest Day Pay:</t>
  </si>
  <si>
    <t>MINUTES</t>
  </si>
  <si>
    <t>Cash Adv.:</t>
  </si>
  <si>
    <t>Cash Adv. Balance.:</t>
  </si>
  <si>
    <t>CASH ADVANCE</t>
  </si>
  <si>
    <t>SSS SAL. LOAN</t>
  </si>
  <si>
    <t>SSS CAL. LOAN</t>
  </si>
  <si>
    <t>P.IBIG SAL LOAN</t>
  </si>
  <si>
    <t>P.IBIG CAL LOAN</t>
  </si>
  <si>
    <t>P.IBIG CONTRI</t>
  </si>
  <si>
    <t>P.IBIG HOUS.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</si>
</sst>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₱-3409]#,##0"/>
    <numFmt numFmtId="165" formatCode="[$₱-3409]#,##0.00"/>
    <numFmt numFmtId="166" formatCode="[$₱-464]#,##0"/>
    <numFmt numFmtId="167" formatCode="[$₱-464]#,##0.0"/>
    <numFmt numFmtId="168" formatCode="[$₱-464]#,##0.00"/>
  </numFmts>
  <fonts count="2">
    <font>
      <sz val="11"/>
      <color theme="1"/>
      <name val="Calibri"/>
      <family val="2"/>
      <charset val="128"/>
      <scheme val="minor"/>
    </font>
    <font>
      <sz val="8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" xfId="0" applyBorder="1"/>
    <xf numFmtId="0" fontId="0" fillId="0" borderId="0" xfId="0" quotePrefix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0" xfId="0" applyFill="1" applyBorder="1" applyAlignment="1">
      <alignment horizontal="right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8" fontId="0" fillId="0" borderId="1" xfId="0" quotePrefix="1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9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100965</xdr:colOff>
      <xdr:row>18</xdr:row>
      <xdr:rowOff>171450</xdr:rowOff>
    </xdr:from>
    <xdr:to>
      <xdr:col>4</xdr:col>
      <xdr:colOff>733425</xdr:colOff>
      <xdr:row>20</xdr:row>
      <xdr:rowOff>121920</xdr:rowOff>
    </xdr:to>
    <xdr:sp macro="[0]!Add_Record" textlink="">
      <xdr:nvSpPr>
        <xdr:cNvPr id="2" name="Rectangle 1">
          <a:extLst>
            <a:ext uri="{FF2B5EF4-FFF2-40B4-BE49-F238E27FC236}">
              <a16:creationId xmlns:a16="http://schemas.microsoft.com/office/drawing/2014/main" id="{34AAA4BF-54C3-4F8A-B112-B1E248E81C77}"/>
            </a:ext>
          </a:extLst>
        </xdr:cNvPr>
        <xdr:cNvSpPr/>
      </xdr:nvSpPr>
      <xdr:spPr>
        <a:xfrm>
          <a:off x="2110740" y="3429000"/>
          <a:ext cx="2089785" cy="3124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/>
            <a:t>ADD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A1C13-D52C-4A15-B5D0-4731672BEE1C}">
  <sheetPr codeName="Sheet1"/>
  <dimension ref="A1:AM111"/>
  <sheetViews>
    <sheetView zoomScale="85" zoomScaleNormal="85" workbookViewId="0">
      <selection activeCell="H9" sqref="H9"/>
    </sheetView>
  </sheetViews>
  <sheetFormatPr defaultRowHeight="14.4"/>
  <cols>
    <col min="1" max="1" width="9.109375" style="19"/>
    <col min="2" max="2" width="13.6640625" bestFit="1" customWidth="1"/>
    <col min="3" max="5" width="15.6640625" style="19" customWidth="1"/>
    <col min="6" max="6" width="30.6640625" style="19" customWidth="1"/>
    <col min="7" max="7" width="20.6640625" customWidth="1"/>
    <col min="8" max="8" width="25.6640625" customWidth="1"/>
    <col min="9" max="10" width="15.6640625" customWidth="1"/>
    <col min="11" max="11" width="12.6640625" bestFit="1" customWidth="1"/>
    <col min="12" max="12" width="30.6640625" customWidth="1"/>
    <col min="13" max="13" width="14.5546875" customWidth="1"/>
    <col min="14" max="15" width="15.6640625" customWidth="1"/>
    <col min="16" max="24" width="15.77734375" customWidth="1"/>
    <col min="25" max="25" width="12.6640625" customWidth="1"/>
    <col min="26" max="26" width="23.44140625" bestFit="1" customWidth="1"/>
    <col min="27" max="27" width="12.109375" bestFit="1" customWidth="1"/>
    <col min="28" max="28" width="17.33203125" bestFit="1" customWidth="1"/>
    <col min="29" max="29" width="17.33203125" customWidth="1"/>
    <col min="30" max="30" width="12.88671875" bestFit="1" customWidth="1"/>
    <col min="31" max="34" width="12.88671875" customWidth="1"/>
    <col min="35" max="35" width="12.6640625" customWidth="1"/>
    <col min="36" max="36" width="14.44140625" bestFit="1" customWidth="1"/>
    <col min="37" max="37" width="30.6640625" style="13" customWidth="1"/>
  </cols>
  <sheetData>
    <row r="1" spans="1:39">
      <c r="AD1" s="35" t="s">
        <v>103</v>
      </c>
      <c r="AE1" s="35"/>
      <c r="AF1" s="35"/>
      <c r="AG1" s="35"/>
      <c r="AH1" s="33"/>
    </row>
    <row r="2" spans="1:39">
      <c r="A2" s="13" t="s">
        <v>0</v>
      </c>
      <c r="B2" s="13" t="s">
        <v>4</v>
      </c>
      <c r="C2" s="13" t="s">
        <v>1</v>
      </c>
      <c r="D2" s="13" t="s">
        <v>2</v>
      </c>
      <c r="E2" s="13" t="s">
        <v>3</v>
      </c>
      <c r="F2" s="13" t="s">
        <v>101</v>
      </c>
      <c r="G2" s="13" t="s">
        <v>6</v>
      </c>
      <c r="H2" s="13" t="s">
        <v>5</v>
      </c>
      <c r="I2" s="13" t="s">
        <v>7</v>
      </c>
      <c r="J2" s="13" t="s">
        <v>8</v>
      </c>
      <c r="K2" s="13" t="s">
        <v>9</v>
      </c>
      <c r="L2" s="13" t="s">
        <v>10</v>
      </c>
      <c r="M2" s="13" t="s">
        <v>16</v>
      </c>
      <c r="N2" s="13" t="s">
        <v>11</v>
      </c>
      <c r="O2" s="13" t="s">
        <v>12</v>
      </c>
      <c r="P2" s="13" t="s">
        <v>13</v>
      </c>
      <c r="Q2" s="34" t="s">
        <v>37</v>
      </c>
      <c r="R2" s="34" t="s">
        <v>136</v>
      </c>
      <c r="S2" s="34" t="s">
        <v>137</v>
      </c>
      <c r="T2" s="13" t="s">
        <v>14</v>
      </c>
      <c r="U2" s="34" t="s">
        <v>140</v>
      </c>
      <c r="V2" s="34" t="s">
        <v>138</v>
      </c>
      <c r="W2" s="34" t="s">
        <v>139</v>
      </c>
      <c r="X2" s="34" t="s">
        <v>141</v>
      </c>
      <c r="Y2" s="13" t="s">
        <v>15</v>
      </c>
      <c r="Z2" s="13" t="s">
        <v>97</v>
      </c>
      <c r="AA2" s="13" t="s">
        <v>17</v>
      </c>
      <c r="AB2" s="13" t="s">
        <v>18</v>
      </c>
      <c r="AC2" s="13" t="s">
        <v>22</v>
      </c>
      <c r="AD2" s="13" t="s">
        <v>19</v>
      </c>
      <c r="AE2" s="13" t="s">
        <v>104</v>
      </c>
      <c r="AF2" s="13" t="s">
        <v>105</v>
      </c>
      <c r="AG2" s="13" t="s">
        <v>106</v>
      </c>
      <c r="AH2" s="34" t="s">
        <v>132</v>
      </c>
      <c r="AI2" s="13" t="s">
        <v>21</v>
      </c>
      <c r="AJ2" s="34" t="s">
        <v>135</v>
      </c>
      <c r="AL2" s="19"/>
      <c r="AM2" s="13"/>
    </row>
    <row r="3" spans="1:39">
      <c r="A3" s="19">
        <v>1</v>
      </c>
      <c r="C3" s="19" t="s">
        <v>98</v>
      </c>
      <c r="D3" s="19" t="s">
        <v>99</v>
      </c>
      <c r="E3" s="19" t="s">
        <v>100</v>
      </c>
      <c r="F3" s="19" t="str">
        <f>C3 &amp;" "&amp; LEFT(D3,1)&amp;"."&amp; " " &amp; E3</f>
        <v>Jasond V. Delos Santos</v>
      </c>
      <c r="P3" s="19" t="s">
        <v>108</v>
      </c>
      <c r="Q3" s="33"/>
      <c r="R3" s="33"/>
      <c r="S3" s="33"/>
      <c r="T3" s="19" t="s">
        <v>108</v>
      </c>
      <c r="U3" s="33"/>
      <c r="V3" s="33"/>
      <c r="W3" s="33"/>
      <c r="X3" s="33"/>
      <c r="Y3" s="19" t="s">
        <v>108</v>
      </c>
      <c r="Z3" s="19" t="s">
        <v>109</v>
      </c>
      <c r="AB3" t="s">
        <v>107</v>
      </c>
      <c r="AD3" s="21">
        <v>25000</v>
      </c>
      <c r="AE3" s="21">
        <f>AD3/2</f>
        <v>12500</v>
      </c>
      <c r="AF3" s="21">
        <f>AE3/10</f>
        <v>1250</v>
      </c>
      <c r="AG3" s="21">
        <f>AF3/8</f>
        <v>156.25</v>
      </c>
      <c r="AH3" s="21">
        <f>AG3/60</f>
        <v>2.6041666666666665</v>
      </c>
      <c r="AI3" s="22">
        <v>3000</v>
      </c>
    </row>
    <row r="4" spans="1:39">
      <c r="AD4" s="20"/>
      <c r="AE4" s="20"/>
      <c r="AF4" s="20"/>
      <c r="AG4" s="20"/>
      <c r="AH4" s="20"/>
      <c r="AI4" s="22"/>
    </row>
    <row r="5" spans="1:39">
      <c r="AD5" s="20"/>
      <c r="AE5" s="20"/>
      <c r="AF5" s="20"/>
      <c r="AG5" s="20"/>
      <c r="AH5" s="20"/>
      <c r="AI5" s="22"/>
    </row>
    <row r="6" spans="1:39">
      <c r="AD6" s="20"/>
      <c r="AE6" s="20"/>
      <c r="AF6" s="20"/>
      <c r="AG6" s="20"/>
      <c r="AH6" s="20"/>
      <c r="AI6" s="22"/>
    </row>
    <row r="7" spans="1:39">
      <c r="AD7" s="20"/>
      <c r="AE7" s="20"/>
      <c r="AF7" s="20"/>
      <c r="AG7" s="20"/>
      <c r="AH7" s="20"/>
      <c r="AI7" s="22"/>
    </row>
    <row r="8" spans="1:39">
      <c r="AD8" s="20"/>
      <c r="AE8" s="20"/>
      <c r="AF8" s="20"/>
      <c r="AG8" s="20"/>
      <c r="AH8" s="20"/>
      <c r="AI8" s="22"/>
    </row>
    <row r="9" spans="1:39">
      <c r="AD9" s="20"/>
      <c r="AE9" s="20"/>
      <c r="AF9" s="20"/>
      <c r="AG9" s="20"/>
      <c r="AH9" s="20"/>
      <c r="AI9" s="22"/>
    </row>
    <row r="10" spans="1:39">
      <c r="AD10" s="20"/>
      <c r="AE10" s="20"/>
      <c r="AF10" s="20"/>
      <c r="AG10" s="20"/>
      <c r="AH10" s="20"/>
      <c r="AI10" s="22"/>
    </row>
    <row r="11" spans="1:39">
      <c r="AD11" s="20"/>
      <c r="AE11" s="20"/>
      <c r="AF11" s="20"/>
      <c r="AG11" s="20"/>
      <c r="AH11" s="20"/>
      <c r="AI11" s="22"/>
    </row>
    <row r="12" spans="1:39">
      <c r="AD12" s="20"/>
      <c r="AE12" s="20"/>
      <c r="AF12" s="20"/>
      <c r="AG12" s="20"/>
      <c r="AH12" s="20"/>
      <c r="AI12" s="22"/>
    </row>
    <row r="13" spans="1:39">
      <c r="AD13" s="20"/>
      <c r="AE13" s="20"/>
      <c r="AF13" s="20"/>
      <c r="AG13" s="20"/>
      <c r="AH13" s="20"/>
      <c r="AI13" s="22"/>
    </row>
    <row r="14" spans="1:39">
      <c r="AD14" s="20"/>
      <c r="AE14" s="20"/>
      <c r="AF14" s="20"/>
      <c r="AG14" s="20"/>
      <c r="AH14" s="20"/>
      <c r="AI14" s="22"/>
    </row>
    <row r="15" spans="1:39">
      <c r="AD15" s="20"/>
      <c r="AE15" s="20"/>
      <c r="AF15" s="20"/>
      <c r="AG15" s="20"/>
      <c r="AH15" s="20"/>
      <c r="AI15" s="22"/>
    </row>
    <row r="16" spans="1:39">
      <c r="AD16" s="20"/>
      <c r="AE16" s="20"/>
      <c r="AF16" s="20"/>
      <c r="AG16" s="20"/>
      <c r="AH16" s="20"/>
      <c r="AI16" s="22"/>
    </row>
    <row r="17" spans="30:35">
      <c r="AD17" s="20"/>
      <c r="AE17" s="20"/>
      <c r="AF17" s="20"/>
      <c r="AG17" s="20"/>
      <c r="AH17" s="20"/>
      <c r="AI17" s="22"/>
    </row>
    <row r="18" spans="30:35">
      <c r="AD18" s="20"/>
      <c r="AE18" s="20"/>
      <c r="AF18" s="20"/>
      <c r="AG18" s="20"/>
      <c r="AH18" s="20"/>
      <c r="AI18" s="22"/>
    </row>
    <row r="19" spans="30:35">
      <c r="AD19" s="20"/>
      <c r="AE19" s="20"/>
      <c r="AF19" s="20"/>
      <c r="AG19" s="20"/>
      <c r="AH19" s="20"/>
      <c r="AI19" s="22"/>
    </row>
    <row r="20" spans="30:35">
      <c r="AD20" s="20"/>
      <c r="AE20" s="20"/>
      <c r="AF20" s="20"/>
      <c r="AG20" s="20"/>
      <c r="AH20" s="20"/>
      <c r="AI20" s="22"/>
    </row>
    <row r="21" spans="30:35">
      <c r="AD21" s="20"/>
      <c r="AE21" s="20"/>
      <c r="AF21" s="20"/>
      <c r="AG21" s="20"/>
      <c r="AH21" s="20"/>
      <c r="AI21" s="22"/>
    </row>
    <row r="22" spans="30:35">
      <c r="AD22" s="20"/>
      <c r="AE22" s="20"/>
      <c r="AF22" s="20"/>
      <c r="AG22" s="20"/>
      <c r="AH22" s="20"/>
      <c r="AI22" s="22"/>
    </row>
    <row r="23" spans="30:35">
      <c r="AD23" s="20"/>
      <c r="AE23" s="20"/>
      <c r="AF23" s="20"/>
      <c r="AG23" s="20"/>
      <c r="AH23" s="20"/>
      <c r="AI23" s="22"/>
    </row>
    <row r="24" spans="30:35">
      <c r="AD24" s="20"/>
      <c r="AE24" s="20"/>
      <c r="AF24" s="20"/>
      <c r="AG24" s="20"/>
      <c r="AH24" s="20"/>
      <c r="AI24" s="22"/>
    </row>
    <row r="25" spans="30:35">
      <c r="AD25" s="20"/>
      <c r="AE25" s="20"/>
      <c r="AF25" s="20"/>
      <c r="AG25" s="20"/>
      <c r="AH25" s="20"/>
      <c r="AI25" s="22"/>
    </row>
    <row r="26" spans="30:35">
      <c r="AD26" s="20"/>
      <c r="AE26" s="20"/>
      <c r="AF26" s="20"/>
      <c r="AG26" s="20"/>
      <c r="AH26" s="20"/>
      <c r="AI26" s="22"/>
    </row>
    <row r="27" spans="30:35">
      <c r="AD27" s="20"/>
      <c r="AE27" s="20"/>
      <c r="AF27" s="20"/>
      <c r="AG27" s="20"/>
      <c r="AH27" s="20"/>
    </row>
    <row r="28" spans="30:35">
      <c r="AD28" s="20"/>
      <c r="AE28" s="20"/>
      <c r="AF28" s="20"/>
      <c r="AG28" s="20"/>
      <c r="AH28" s="20"/>
    </row>
    <row r="29" spans="30:35">
      <c r="AD29" s="20"/>
      <c r="AE29" s="20"/>
      <c r="AF29" s="20"/>
      <c r="AG29" s="20"/>
      <c r="AH29" s="20"/>
    </row>
    <row r="30" spans="30:35">
      <c r="AD30" s="20"/>
      <c r="AE30" s="20"/>
      <c r="AF30" s="20"/>
      <c r="AG30" s="20"/>
      <c r="AH30" s="20"/>
    </row>
    <row r="31" spans="30:35">
      <c r="AD31" s="20"/>
      <c r="AE31" s="20"/>
      <c r="AF31" s="20"/>
      <c r="AG31" s="20"/>
      <c r="AH31" s="20"/>
    </row>
    <row r="32" spans="30:35">
      <c r="AD32" s="20"/>
      <c r="AE32" s="20"/>
      <c r="AF32" s="20"/>
      <c r="AG32" s="20"/>
      <c r="AH32" s="20"/>
    </row>
    <row r="33" spans="30:34">
      <c r="AD33" s="20"/>
      <c r="AE33" s="20"/>
      <c r="AF33" s="20"/>
      <c r="AG33" s="20"/>
      <c r="AH33" s="20"/>
    </row>
    <row r="34" spans="30:34">
      <c r="AD34" s="20"/>
      <c r="AE34" s="20"/>
      <c r="AF34" s="20"/>
      <c r="AG34" s="20"/>
      <c r="AH34" s="20"/>
    </row>
    <row r="35" spans="30:34">
      <c r="AD35" s="20"/>
      <c r="AE35" s="20"/>
      <c r="AF35" s="20"/>
      <c r="AG35" s="20"/>
      <c r="AH35" s="20"/>
    </row>
    <row r="36" spans="30:34">
      <c r="AD36" s="20"/>
      <c r="AE36" s="20"/>
      <c r="AF36" s="20"/>
      <c r="AG36" s="20"/>
      <c r="AH36" s="20"/>
    </row>
    <row r="37" spans="30:34">
      <c r="AD37" s="20"/>
      <c r="AE37" s="20"/>
      <c r="AF37" s="20"/>
      <c r="AG37" s="20"/>
      <c r="AH37" s="20"/>
    </row>
    <row r="38" spans="30:34">
      <c r="AD38" s="20"/>
      <c r="AE38" s="20"/>
      <c r="AF38" s="20"/>
      <c r="AG38" s="20"/>
      <c r="AH38" s="20"/>
    </row>
    <row r="39" spans="30:34">
      <c r="AD39" s="20"/>
      <c r="AE39" s="20"/>
      <c r="AF39" s="20"/>
      <c r="AG39" s="20"/>
      <c r="AH39" s="20"/>
    </row>
    <row r="40" spans="30:34">
      <c r="AD40" s="20"/>
      <c r="AE40" s="20"/>
      <c r="AF40" s="20"/>
      <c r="AG40" s="20"/>
      <c r="AH40" s="20"/>
    </row>
    <row r="41" spans="30:34">
      <c r="AD41" s="20"/>
      <c r="AE41" s="20"/>
      <c r="AF41" s="20"/>
      <c r="AG41" s="20"/>
      <c r="AH41" s="20"/>
    </row>
    <row r="42" spans="30:34">
      <c r="AD42" s="20"/>
      <c r="AE42" s="20"/>
      <c r="AF42" s="20"/>
      <c r="AG42" s="20"/>
      <c r="AH42" s="20"/>
    </row>
    <row r="43" spans="30:34">
      <c r="AD43" s="20"/>
      <c r="AE43" s="20"/>
      <c r="AF43" s="20"/>
      <c r="AG43" s="20"/>
      <c r="AH43" s="20"/>
    </row>
    <row r="44" spans="30:34">
      <c r="AD44" s="20"/>
      <c r="AE44" s="20"/>
      <c r="AF44" s="20"/>
      <c r="AG44" s="20"/>
      <c r="AH44" s="20"/>
    </row>
    <row r="45" spans="30:34">
      <c r="AD45" s="20"/>
      <c r="AE45" s="20"/>
      <c r="AF45" s="20"/>
      <c r="AG45" s="20"/>
      <c r="AH45" s="20"/>
    </row>
    <row r="46" spans="30:34">
      <c r="AD46" s="20"/>
      <c r="AE46" s="20"/>
      <c r="AF46" s="20"/>
      <c r="AG46" s="20"/>
      <c r="AH46" s="20"/>
    </row>
    <row r="47" spans="30:34">
      <c r="AD47" s="20"/>
      <c r="AE47" s="20"/>
      <c r="AF47" s="20"/>
      <c r="AG47" s="20"/>
      <c r="AH47" s="20"/>
    </row>
    <row r="48" spans="30:34">
      <c r="AD48" s="20"/>
      <c r="AE48" s="20"/>
      <c r="AF48" s="20"/>
      <c r="AG48" s="20"/>
      <c r="AH48" s="20"/>
    </row>
    <row r="49" spans="30:34">
      <c r="AD49" s="20"/>
      <c r="AE49" s="20"/>
      <c r="AF49" s="20"/>
      <c r="AG49" s="20"/>
      <c r="AH49" s="20"/>
    </row>
    <row r="50" spans="30:34">
      <c r="AD50" s="20"/>
      <c r="AE50" s="20"/>
      <c r="AF50" s="20"/>
      <c r="AG50" s="20"/>
      <c r="AH50" s="20"/>
    </row>
    <row r="51" spans="30:34">
      <c r="AD51" s="20"/>
      <c r="AE51" s="20"/>
      <c r="AF51" s="20"/>
      <c r="AG51" s="20"/>
      <c r="AH51" s="20"/>
    </row>
    <row r="52" spans="30:34">
      <c r="AD52" s="20"/>
      <c r="AE52" s="20"/>
      <c r="AF52" s="20"/>
      <c r="AG52" s="20"/>
      <c r="AH52" s="20"/>
    </row>
    <row r="53" spans="30:34">
      <c r="AD53" s="20"/>
      <c r="AE53" s="20"/>
      <c r="AF53" s="20"/>
      <c r="AG53" s="20"/>
      <c r="AH53" s="20"/>
    </row>
    <row r="54" spans="30:34">
      <c r="AD54" s="20"/>
      <c r="AE54" s="20"/>
      <c r="AF54" s="20"/>
      <c r="AG54" s="20"/>
      <c r="AH54" s="20"/>
    </row>
    <row r="55" spans="30:34">
      <c r="AD55" s="20"/>
      <c r="AE55" s="20"/>
      <c r="AF55" s="20"/>
      <c r="AG55" s="20"/>
      <c r="AH55" s="20"/>
    </row>
    <row r="56" spans="30:34">
      <c r="AD56" s="20"/>
      <c r="AE56" s="20"/>
      <c r="AF56" s="20"/>
      <c r="AG56" s="20"/>
      <c r="AH56" s="20"/>
    </row>
    <row r="57" spans="30:34">
      <c r="AD57" s="20"/>
      <c r="AE57" s="20"/>
      <c r="AF57" s="20"/>
      <c r="AG57" s="20"/>
      <c r="AH57" s="20"/>
    </row>
    <row r="58" spans="30:34">
      <c r="AD58" s="20"/>
      <c r="AE58" s="20"/>
      <c r="AF58" s="20"/>
      <c r="AG58" s="20"/>
      <c r="AH58" s="20"/>
    </row>
    <row r="59" spans="30:34">
      <c r="AD59" s="20"/>
      <c r="AE59" s="20"/>
      <c r="AF59" s="20"/>
      <c r="AG59" s="20"/>
      <c r="AH59" s="20"/>
    </row>
    <row r="60" spans="30:34">
      <c r="AD60" s="20"/>
      <c r="AE60" s="20"/>
      <c r="AF60" s="20"/>
      <c r="AG60" s="20"/>
      <c r="AH60" s="20"/>
    </row>
    <row r="61" spans="30:34">
      <c r="AD61" s="20"/>
      <c r="AE61" s="20"/>
      <c r="AF61" s="20"/>
      <c r="AG61" s="20"/>
      <c r="AH61" s="20"/>
    </row>
    <row r="62" spans="30:34">
      <c r="AD62" s="20"/>
      <c r="AE62" s="20"/>
      <c r="AF62" s="20"/>
      <c r="AG62" s="20"/>
      <c r="AH62" s="20"/>
    </row>
    <row r="63" spans="30:34">
      <c r="AD63" s="20"/>
      <c r="AE63" s="20"/>
      <c r="AF63" s="20"/>
      <c r="AG63" s="20"/>
      <c r="AH63" s="20"/>
    </row>
    <row r="64" spans="30:34">
      <c r="AD64" s="20"/>
      <c r="AE64" s="20"/>
      <c r="AF64" s="20"/>
      <c r="AG64" s="20"/>
      <c r="AH64" s="20"/>
    </row>
    <row r="65" spans="30:34">
      <c r="AD65" s="20"/>
      <c r="AE65" s="20"/>
      <c r="AF65" s="20"/>
      <c r="AG65" s="20"/>
      <c r="AH65" s="20"/>
    </row>
    <row r="66" spans="30:34">
      <c r="AD66" s="20"/>
      <c r="AE66" s="20"/>
      <c r="AF66" s="20"/>
      <c r="AG66" s="20"/>
      <c r="AH66" s="20"/>
    </row>
    <row r="67" spans="30:34">
      <c r="AD67" s="20"/>
      <c r="AE67" s="20"/>
      <c r="AF67" s="20"/>
      <c r="AG67" s="20"/>
      <c r="AH67" s="20"/>
    </row>
    <row r="68" spans="30:34">
      <c r="AD68" s="20"/>
      <c r="AE68" s="20"/>
      <c r="AF68" s="20"/>
      <c r="AG68" s="20"/>
      <c r="AH68" s="20"/>
    </row>
    <row r="69" spans="30:34">
      <c r="AD69" s="20"/>
      <c r="AE69" s="20"/>
      <c r="AF69" s="20"/>
      <c r="AG69" s="20"/>
      <c r="AH69" s="20"/>
    </row>
    <row r="70" spans="30:34">
      <c r="AD70" s="20"/>
      <c r="AE70" s="20"/>
      <c r="AF70" s="20"/>
      <c r="AG70" s="20"/>
      <c r="AH70" s="20"/>
    </row>
    <row r="71" spans="30:34">
      <c r="AD71" s="20"/>
      <c r="AE71" s="20"/>
      <c r="AF71" s="20"/>
      <c r="AG71" s="20"/>
      <c r="AH71" s="20"/>
    </row>
    <row r="72" spans="30:34">
      <c r="AD72" s="20"/>
      <c r="AE72" s="20"/>
      <c r="AF72" s="20"/>
      <c r="AG72" s="20"/>
      <c r="AH72" s="20"/>
    </row>
    <row r="73" spans="30:34">
      <c r="AD73" s="20"/>
      <c r="AE73" s="20"/>
      <c r="AF73" s="20"/>
      <c r="AG73" s="20"/>
      <c r="AH73" s="20"/>
    </row>
    <row r="74" spans="30:34">
      <c r="AD74" s="20"/>
      <c r="AE74" s="20"/>
      <c r="AF74" s="20"/>
      <c r="AG74" s="20"/>
      <c r="AH74" s="20"/>
    </row>
    <row r="75" spans="30:34">
      <c r="AD75" s="20"/>
      <c r="AE75" s="20"/>
      <c r="AF75" s="20"/>
      <c r="AG75" s="20"/>
      <c r="AH75" s="20"/>
    </row>
    <row r="76" spans="30:34">
      <c r="AD76" s="20"/>
      <c r="AE76" s="20"/>
      <c r="AF76" s="20"/>
      <c r="AG76" s="20"/>
      <c r="AH76" s="20"/>
    </row>
    <row r="77" spans="30:34">
      <c r="AD77" s="20"/>
      <c r="AE77" s="20"/>
      <c r="AF77" s="20"/>
      <c r="AG77" s="20"/>
      <c r="AH77" s="20"/>
    </row>
    <row r="78" spans="30:34">
      <c r="AD78" s="20"/>
      <c r="AE78" s="20"/>
      <c r="AF78" s="20"/>
      <c r="AG78" s="20"/>
      <c r="AH78" s="20"/>
    </row>
    <row r="79" spans="30:34">
      <c r="AD79" s="20"/>
      <c r="AE79" s="20"/>
      <c r="AF79" s="20"/>
      <c r="AG79" s="20"/>
      <c r="AH79" s="20"/>
    </row>
    <row r="80" spans="30:34">
      <c r="AD80" s="20"/>
      <c r="AE80" s="20"/>
      <c r="AF80" s="20"/>
      <c r="AG80" s="20"/>
      <c r="AH80" s="20"/>
    </row>
    <row r="81" spans="30:34">
      <c r="AD81" s="20"/>
      <c r="AE81" s="20"/>
      <c r="AF81" s="20"/>
      <c r="AG81" s="20"/>
      <c r="AH81" s="20"/>
    </row>
    <row r="82" spans="30:34">
      <c r="AD82" s="20"/>
      <c r="AE82" s="20"/>
      <c r="AF82" s="20"/>
      <c r="AG82" s="20"/>
      <c r="AH82" s="20"/>
    </row>
    <row r="83" spans="30:34">
      <c r="AD83" s="20"/>
      <c r="AE83" s="20"/>
      <c r="AF83" s="20"/>
      <c r="AG83" s="20"/>
      <c r="AH83" s="20"/>
    </row>
    <row r="84" spans="30:34">
      <c r="AD84" s="20"/>
      <c r="AE84" s="20"/>
      <c r="AF84" s="20"/>
      <c r="AG84" s="20"/>
      <c r="AH84" s="20"/>
    </row>
    <row r="85" spans="30:34">
      <c r="AD85" s="20"/>
      <c r="AE85" s="20"/>
      <c r="AF85" s="20"/>
      <c r="AG85" s="20"/>
      <c r="AH85" s="20"/>
    </row>
    <row r="86" spans="30:34">
      <c r="AD86" s="20"/>
      <c r="AE86" s="20"/>
      <c r="AF86" s="20"/>
      <c r="AG86" s="20"/>
      <c r="AH86" s="20"/>
    </row>
    <row r="87" spans="30:34">
      <c r="AD87" s="20"/>
      <c r="AE87" s="20"/>
      <c r="AF87" s="20"/>
      <c r="AG87" s="20"/>
      <c r="AH87" s="20"/>
    </row>
    <row r="88" spans="30:34">
      <c r="AD88" s="20"/>
      <c r="AE88" s="20"/>
      <c r="AF88" s="20"/>
      <c r="AG88" s="20"/>
      <c r="AH88" s="20"/>
    </row>
    <row r="89" spans="30:34">
      <c r="AD89" s="20"/>
      <c r="AE89" s="20"/>
      <c r="AF89" s="20"/>
      <c r="AG89" s="20"/>
      <c r="AH89" s="20"/>
    </row>
    <row r="90" spans="30:34">
      <c r="AD90" s="20"/>
      <c r="AE90" s="20"/>
      <c r="AF90" s="20"/>
      <c r="AG90" s="20"/>
      <c r="AH90" s="20"/>
    </row>
    <row r="91" spans="30:34">
      <c r="AD91" s="20"/>
      <c r="AE91" s="20"/>
      <c r="AF91" s="20"/>
      <c r="AG91" s="20"/>
      <c r="AH91" s="20"/>
    </row>
    <row r="92" spans="30:34">
      <c r="AD92" s="20"/>
      <c r="AE92" s="20"/>
      <c r="AF92" s="20"/>
      <c r="AG92" s="20"/>
      <c r="AH92" s="20"/>
    </row>
    <row r="93" spans="30:34">
      <c r="AD93" s="20"/>
      <c r="AE93" s="20"/>
      <c r="AF93" s="20"/>
      <c r="AG93" s="20"/>
      <c r="AH93" s="20"/>
    </row>
    <row r="94" spans="30:34">
      <c r="AD94" s="20"/>
      <c r="AE94" s="20"/>
      <c r="AF94" s="20"/>
      <c r="AG94" s="20"/>
      <c r="AH94" s="20"/>
    </row>
    <row r="95" spans="30:34">
      <c r="AD95" s="20"/>
      <c r="AE95" s="20"/>
      <c r="AF95" s="20"/>
      <c r="AG95" s="20"/>
      <c r="AH95" s="20"/>
    </row>
    <row r="96" spans="30:34">
      <c r="AD96" s="20"/>
      <c r="AE96" s="20"/>
      <c r="AF96" s="20"/>
      <c r="AG96" s="20"/>
      <c r="AH96" s="20"/>
    </row>
    <row r="97" spans="30:34">
      <c r="AD97" s="20"/>
      <c r="AE97" s="20"/>
      <c r="AF97" s="20"/>
      <c r="AG97" s="20"/>
      <c r="AH97" s="20"/>
    </row>
    <row r="98" spans="30:34">
      <c r="AD98" s="20"/>
      <c r="AE98" s="20"/>
      <c r="AF98" s="20"/>
      <c r="AG98" s="20"/>
      <c r="AH98" s="20"/>
    </row>
    <row r="99" spans="30:34">
      <c r="AD99" s="20"/>
      <c r="AE99" s="20"/>
      <c r="AF99" s="20"/>
      <c r="AG99" s="20"/>
      <c r="AH99" s="20"/>
    </row>
    <row r="100" spans="30:34">
      <c r="AD100" s="20"/>
      <c r="AE100" s="20"/>
      <c r="AF100" s="20"/>
      <c r="AG100" s="20"/>
      <c r="AH100" s="20"/>
    </row>
    <row r="101" spans="30:34">
      <c r="AD101" s="20"/>
      <c r="AE101" s="20"/>
      <c r="AF101" s="20"/>
      <c r="AG101" s="20"/>
      <c r="AH101" s="20"/>
    </row>
    <row r="102" spans="30:34">
      <c r="AD102" s="20"/>
      <c r="AE102" s="20"/>
      <c r="AF102" s="20"/>
      <c r="AG102" s="20"/>
      <c r="AH102" s="20"/>
    </row>
    <row r="103" spans="30:34">
      <c r="AD103" s="20"/>
      <c r="AE103" s="20"/>
      <c r="AF103" s="20"/>
      <c r="AG103" s="20"/>
      <c r="AH103" s="20"/>
    </row>
    <row r="104" spans="30:34">
      <c r="AD104" s="20"/>
      <c r="AE104" s="20"/>
      <c r="AF104" s="20"/>
      <c r="AG104" s="20"/>
      <c r="AH104" s="20"/>
    </row>
    <row r="105" spans="30:34">
      <c r="AD105" s="20"/>
      <c r="AE105" s="20"/>
      <c r="AF105" s="20"/>
      <c r="AG105" s="20"/>
      <c r="AH105" s="20"/>
    </row>
    <row r="106" spans="30:34">
      <c r="AD106" s="20"/>
      <c r="AE106" s="20"/>
      <c r="AF106" s="20"/>
      <c r="AG106" s="20"/>
      <c r="AH106" s="20"/>
    </row>
    <row r="107" spans="30:34">
      <c r="AD107" s="20"/>
      <c r="AE107" s="20"/>
      <c r="AF107" s="20"/>
      <c r="AG107" s="20"/>
      <c r="AH107" s="20"/>
    </row>
    <row r="108" spans="30:34">
      <c r="AD108" s="20"/>
      <c r="AE108" s="20"/>
      <c r="AF108" s="20"/>
      <c r="AG108" s="20"/>
      <c r="AH108" s="20"/>
    </row>
    <row r="109" spans="30:34">
      <c r="AD109" s="20"/>
      <c r="AE109" s="20"/>
      <c r="AF109" s="20"/>
      <c r="AG109" s="20"/>
      <c r="AH109" s="20"/>
    </row>
    <row r="110" spans="30:34">
      <c r="AD110" s="20"/>
      <c r="AE110" s="20"/>
      <c r="AF110" s="20"/>
      <c r="AG110" s="20"/>
      <c r="AH110" s="20"/>
    </row>
    <row r="111" spans="30:34">
      <c r="AD111" s="20"/>
      <c r="AE111" s="20"/>
      <c r="AF111" s="20"/>
      <c r="AG111" s="20"/>
      <c r="AH111" s="20"/>
    </row>
  </sheetData>
  <mergeCells count="1">
    <mergeCell ref="AD1:AG1"/>
  </mergeCells>
  <phoneticPr fontId="1" type="noConversion"/>
  <dataValidations count="1">
    <dataValidation type="list" allowBlank="1" showInputMessage="1" showErrorMessage="1" sqref="AB3" xr:uid="{7BCCF3B2-D5EA-40F0-88FA-3258D61F0698}">
      <formula1>"REGULAR,PROBI,RESIGNED"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1D038-2898-415E-854F-AC54A95F3E05}">
  <dimension ref="A1:G13"/>
  <sheetViews>
    <sheetView workbookViewId="0">
      <selection activeCell="H13" sqref="H13"/>
    </sheetView>
  </sheetViews>
  <sheetFormatPr defaultRowHeight="14.4"/>
  <cols>
    <col min="1" max="2" width="15.77734375" customWidth="1"/>
    <col min="4" max="4" width="15.77734375" customWidth="1"/>
    <col min="5" max="5" width="10.77734375" customWidth="1"/>
    <col min="6" max="6" width="25" bestFit="1" customWidth="1"/>
  </cols>
  <sheetData>
    <row r="1" spans="1:7">
      <c r="A1" t="s">
        <v>123</v>
      </c>
    </row>
    <row r="2" spans="1:7">
      <c r="A2" s="36" t="s">
        <v>97</v>
      </c>
      <c r="B2" s="36"/>
      <c r="C2" s="36"/>
      <c r="D2" s="36"/>
      <c r="E2" s="36"/>
    </row>
    <row r="3" spans="1:7">
      <c r="A3" s="36" t="s">
        <v>111</v>
      </c>
      <c r="B3" s="36"/>
      <c r="C3" s="36"/>
      <c r="D3" s="36" t="s">
        <v>122</v>
      </c>
      <c r="E3" s="37"/>
      <c r="F3" s="36" t="s">
        <v>124</v>
      </c>
      <c r="G3" s="36"/>
    </row>
    <row r="4" spans="1:7">
      <c r="A4" s="23">
        <v>0</v>
      </c>
      <c r="B4" s="23">
        <v>10000</v>
      </c>
      <c r="C4" s="24">
        <v>0.05</v>
      </c>
      <c r="D4" s="28" t="s">
        <v>112</v>
      </c>
      <c r="E4" s="31">
        <v>0.15</v>
      </c>
      <c r="F4" s="6" t="s">
        <v>119</v>
      </c>
      <c r="G4" s="32">
        <v>0.25</v>
      </c>
    </row>
    <row r="5" spans="1:7">
      <c r="A5" s="23">
        <v>10000</v>
      </c>
      <c r="B5" s="23">
        <v>30000</v>
      </c>
      <c r="C5" s="24">
        <v>0.1</v>
      </c>
      <c r="D5" s="28" t="s">
        <v>113</v>
      </c>
      <c r="E5" s="31">
        <v>0.2</v>
      </c>
      <c r="F5" s="6" t="s">
        <v>118</v>
      </c>
      <c r="G5" s="32">
        <v>0.3</v>
      </c>
    </row>
    <row r="6" spans="1:7">
      <c r="A6" s="23">
        <v>30000</v>
      </c>
      <c r="B6" s="23">
        <v>70000</v>
      </c>
      <c r="C6" s="24">
        <v>0.15</v>
      </c>
      <c r="D6" s="28" t="s">
        <v>114</v>
      </c>
      <c r="E6" s="31">
        <v>0.3</v>
      </c>
      <c r="F6" s="6" t="s">
        <v>125</v>
      </c>
      <c r="G6" s="32">
        <v>0.1</v>
      </c>
    </row>
    <row r="7" spans="1:7">
      <c r="A7" s="23">
        <v>70000</v>
      </c>
      <c r="B7" s="23">
        <v>140000</v>
      </c>
      <c r="C7" s="24">
        <v>0.2</v>
      </c>
      <c r="D7" s="28" t="s">
        <v>115</v>
      </c>
      <c r="E7" s="31">
        <v>0.3</v>
      </c>
      <c r="F7" s="6" t="s">
        <v>126</v>
      </c>
      <c r="G7" s="32">
        <v>0.25</v>
      </c>
    </row>
    <row r="8" spans="1:7">
      <c r="A8" s="23">
        <v>140000</v>
      </c>
      <c r="B8" s="23">
        <v>250000</v>
      </c>
      <c r="C8" s="24">
        <v>0.25</v>
      </c>
      <c r="D8" s="28"/>
      <c r="E8" s="31"/>
      <c r="F8" s="6" t="s">
        <v>117</v>
      </c>
      <c r="G8" s="32">
        <v>0.3</v>
      </c>
    </row>
    <row r="9" spans="1:7">
      <c r="A9" s="23">
        <v>250000</v>
      </c>
      <c r="B9" s="23">
        <v>500000</v>
      </c>
      <c r="C9" s="24">
        <v>0.3</v>
      </c>
      <c r="D9" s="28"/>
      <c r="E9" s="31"/>
      <c r="F9" s="6" t="s">
        <v>120</v>
      </c>
      <c r="G9" s="32">
        <v>0.3</v>
      </c>
    </row>
    <row r="10" spans="1:7">
      <c r="A10" s="23">
        <v>500000</v>
      </c>
      <c r="B10" s="23"/>
      <c r="C10" s="24">
        <v>0.32</v>
      </c>
      <c r="D10" s="28"/>
      <c r="E10" s="31"/>
      <c r="F10" s="6" t="s">
        <v>127</v>
      </c>
      <c r="G10" s="32">
        <v>0.5</v>
      </c>
    </row>
    <row r="11" spans="1:7">
      <c r="F11" s="6" t="s">
        <v>116</v>
      </c>
      <c r="G11" s="32">
        <v>1</v>
      </c>
    </row>
    <row r="12" spans="1:7">
      <c r="F12" s="6" t="s">
        <v>121</v>
      </c>
      <c r="G12" s="32">
        <v>1.3</v>
      </c>
    </row>
    <row r="13" spans="1:7">
      <c r="F13" s="6" t="s">
        <v>128</v>
      </c>
      <c r="G13" s="32">
        <v>1.6</v>
      </c>
    </row>
  </sheetData>
  <mergeCells count="4">
    <mergeCell ref="A3:C3"/>
    <mergeCell ref="D3:E3"/>
    <mergeCell ref="F3:G3"/>
    <mergeCell ref="A2:E2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A1ACB-6531-4959-B321-D2FAC1DF703C}">
  <sheetPr codeName="Sheet2"/>
  <dimension ref="A2:N26"/>
  <sheetViews>
    <sheetView tabSelected="1" workbookViewId="0">
      <selection activeCell="H20" sqref="H20"/>
    </sheetView>
  </sheetViews>
  <sheetFormatPr defaultRowHeight="14.4"/>
  <cols>
    <col min="1" max="1" width="8.6640625" customWidth="1"/>
    <col min="2" max="2" width="20.6640625" customWidth="1"/>
    <col min="3" max="3" width="8.6640625" customWidth="1"/>
    <col min="4" max="5" width="12.6640625" customWidth="1"/>
    <col min="6" max="6" width="2.6640625" customWidth="1"/>
    <col min="7" max="7" width="17" bestFit="1" customWidth="1"/>
    <col min="8" max="8" width="12.6640625" customWidth="1"/>
    <col min="9" max="9" width="2.6640625" customWidth="1"/>
    <col min="10" max="10" width="17.44140625" bestFit="1" customWidth="1"/>
    <col min="11" max="11" width="15.6640625" customWidth="1"/>
    <col min="12" max="12" width="2.6640625" customWidth="1"/>
    <col min="13" max="13" width="12.33203125" bestFit="1" customWidth="1"/>
    <col min="14" max="14" width="12.6640625" customWidth="1"/>
  </cols>
  <sheetData>
    <row r="2" spans="1:14">
      <c r="B2" s="5" t="s">
        <v>57</v>
      </c>
      <c r="C2" s="36"/>
      <c r="D2" s="36"/>
      <c r="E2" s="36"/>
      <c r="G2" s="4" t="s">
        <v>89</v>
      </c>
      <c r="H2" s="6"/>
      <c r="I2" s="11"/>
      <c r="J2" s="4" t="s">
        <v>90</v>
      </c>
      <c r="K2" s="6"/>
    </row>
    <row r="3" spans="1:14">
      <c r="B3" s="5" t="s">
        <v>56</v>
      </c>
      <c r="C3" s="37" t="s">
        <v>102</v>
      </c>
      <c r="D3" s="38"/>
      <c r="E3" s="39"/>
      <c r="G3" s="4" t="s">
        <v>88</v>
      </c>
      <c r="H3" s="6"/>
      <c r="J3" s="4"/>
      <c r="K3" s="9"/>
    </row>
    <row r="4" spans="1:14">
      <c r="B4" s="5"/>
    </row>
    <row r="5" spans="1:14">
      <c r="B5" s="5"/>
      <c r="C5" s="2"/>
      <c r="D5" s="2"/>
      <c r="E5" s="2"/>
      <c r="J5" s="5"/>
    </row>
    <row r="6" spans="1:14">
      <c r="B6" s="5" t="s">
        <v>58</v>
      </c>
      <c r="C6" s="2" t="s">
        <v>69</v>
      </c>
      <c r="D6" s="2" t="s">
        <v>70</v>
      </c>
      <c r="E6" s="2" t="s">
        <v>71</v>
      </c>
      <c r="J6" s="8"/>
      <c r="K6" s="9"/>
      <c r="M6" s="3"/>
    </row>
    <row r="7" spans="1:14">
      <c r="B7" s="5" t="s">
        <v>59</v>
      </c>
      <c r="C7" s="16">
        <v>13</v>
      </c>
      <c r="D7" s="29" t="str">
        <f>IF(C7="","-",VLOOKUP($C$3,EMS!$F$3:$AI$5,20,FALSE))</f>
        <v>123-456-789</v>
      </c>
      <c r="E7" s="30">
        <f>IF(C7="","-",IF(C7&lt;&gt;"",N12,""))</f>
        <v>0</v>
      </c>
      <c r="G7" s="7" t="s">
        <v>93</v>
      </c>
      <c r="H7" s="25" t="e">
        <f>IF($C$3="","-",VLOOKUP(C3,EMS!F3:AI5,23,FALSE)/2)</f>
        <v>#VALUE!</v>
      </c>
      <c r="J7" s="5" t="s">
        <v>72</v>
      </c>
      <c r="K7" s="6"/>
      <c r="M7" s="7" t="s">
        <v>95</v>
      </c>
      <c r="N7" s="6"/>
    </row>
    <row r="8" spans="1:14">
      <c r="A8" s="1"/>
      <c r="B8" s="5" t="s">
        <v>60</v>
      </c>
      <c r="C8" s="17">
        <v>1</v>
      </c>
      <c r="D8" s="29" t="str">
        <f>IF(C8="","-",VLOOKUP($C$3,EMS!$F$3:$AI$5,21,FALSE))</f>
        <v>123-456-790</v>
      </c>
      <c r="E8" s="29" t="e">
        <f>($D8*GOV!$G4)+$D8*$C8</f>
        <v>#VALUE!</v>
      </c>
      <c r="G8" s="7" t="s">
        <v>80</v>
      </c>
      <c r="H8" s="25" t="e">
        <f>IF($C$3="","-",H7*0.1)</f>
        <v>#VALUE!</v>
      </c>
      <c r="J8" s="4" t="s">
        <v>73</v>
      </c>
      <c r="K8" s="6"/>
    </row>
    <row r="9" spans="1:14">
      <c r="A9" s="1"/>
      <c r="B9" s="5" t="s">
        <v>131</v>
      </c>
      <c r="C9" s="16">
        <v>2</v>
      </c>
      <c r="D9" s="29" t="str">
        <f>IF(C9="","-",VLOOKUP($C$3,EMS!$F$3:$AI$5,21,FALSE))</f>
        <v>123-456-790</v>
      </c>
      <c r="E9" s="29" t="e">
        <f>($D9*GOV!$G5)+$D9*$C9</f>
        <v>#VALUE!</v>
      </c>
      <c r="G9" s="7" t="s">
        <v>79</v>
      </c>
      <c r="H9" s="26" t="e">
        <f>IF($C$3="","-",H7*0.2)</f>
        <v>#VALUE!</v>
      </c>
      <c r="J9" s="4" t="s">
        <v>74</v>
      </c>
      <c r="K9" s="6"/>
      <c r="M9" s="4"/>
    </row>
    <row r="10" spans="1:14">
      <c r="A10" s="1"/>
      <c r="B10" s="5" t="s">
        <v>62</v>
      </c>
      <c r="C10" s="16">
        <v>3</v>
      </c>
      <c r="D10" s="29" t="str">
        <f>IF(C10="","-",VLOOKUP($C$3,EMS!$F$3:$AI$5,21,FALSE))</f>
        <v>123-456-790</v>
      </c>
      <c r="E10" s="29" t="e">
        <f>($D10*GOV!$G6)+$D10*$C10</f>
        <v>#VALUE!</v>
      </c>
      <c r="G10" s="7" t="s">
        <v>78</v>
      </c>
      <c r="H10" s="26" t="e">
        <f>IF($C$3="","-",H7*0.2)</f>
        <v>#VALUE!</v>
      </c>
      <c r="M10" s="4"/>
    </row>
    <row r="11" spans="1:14">
      <c r="A11" s="1"/>
      <c r="B11" s="5" t="s">
        <v>61</v>
      </c>
      <c r="C11" s="16">
        <v>4</v>
      </c>
      <c r="D11" s="29" t="str">
        <f>IF(C11="","-",VLOOKUP($C$3,EMS!$F$3:$AI$5,21,FALSE))</f>
        <v>123-456-790</v>
      </c>
      <c r="E11" s="29" t="e">
        <f>($D11*GOV!$G7)+$D11*$C11</f>
        <v>#VALUE!</v>
      </c>
      <c r="G11" s="7" t="s">
        <v>77</v>
      </c>
      <c r="H11" s="26" t="e">
        <f>IF($C$3="","-",H7*0.5)</f>
        <v>#VALUE!</v>
      </c>
      <c r="J11" s="4" t="s">
        <v>75</v>
      </c>
      <c r="K11" s="6"/>
      <c r="M11" s="7" t="s">
        <v>84</v>
      </c>
      <c r="N11" s="16"/>
    </row>
    <row r="12" spans="1:14">
      <c r="A12" s="1"/>
      <c r="B12" s="5" t="s">
        <v>63</v>
      </c>
      <c r="C12" s="16">
        <v>5</v>
      </c>
      <c r="D12" s="29" t="str">
        <f>IF(C12="","-",VLOOKUP($C$3,EMS!$F$3:$AI$5,21,FALSE))</f>
        <v>123-456-790</v>
      </c>
      <c r="E12" s="29" t="e">
        <f>($D12*GOV!$G8)+$D12*$C12</f>
        <v>#VALUE!</v>
      </c>
      <c r="G12" s="7" t="s">
        <v>81</v>
      </c>
      <c r="H12" s="18" t="str">
        <f>IF($C$3="","-","")</f>
        <v/>
      </c>
      <c r="J12" s="4" t="s">
        <v>110</v>
      </c>
      <c r="K12" s="6"/>
      <c r="M12" s="4" t="s">
        <v>96</v>
      </c>
      <c r="N12" s="27">
        <f>IF($C$3="","",VLOOKUP(C3,EMS!F3:AG5,19,FALSE))</f>
        <v>0</v>
      </c>
    </row>
    <row r="13" spans="1:14">
      <c r="A13" s="1"/>
      <c r="B13" s="5" t="s">
        <v>76</v>
      </c>
      <c r="C13" s="16">
        <v>6</v>
      </c>
      <c r="D13" s="29" t="str">
        <f>IF(C13="","-",VLOOKUP($C$3,EMS!$F$3:$AI$5,21,FALSE))</f>
        <v>123-456-790</v>
      </c>
      <c r="E13" s="29" t="e">
        <f>($D13*GOV!$G9)+$D13*$C13</f>
        <v>#VALUE!</v>
      </c>
      <c r="G13" s="10"/>
      <c r="H13" s="9"/>
      <c r="J13" s="4" t="s">
        <v>86</v>
      </c>
      <c r="K13" s="6"/>
      <c r="M13" s="4" t="s">
        <v>83</v>
      </c>
      <c r="N13" s="16"/>
    </row>
    <row r="14" spans="1:14">
      <c r="A14" s="1"/>
      <c r="B14" s="5" t="s">
        <v>129</v>
      </c>
      <c r="C14" s="16">
        <v>7</v>
      </c>
      <c r="D14" s="29" t="str">
        <f>IF(C14="","-",VLOOKUP($C$3,EMS!$F$3:$AI$5,21,FALSE))</f>
        <v>123-456-790</v>
      </c>
      <c r="E14" s="29" t="e">
        <f>($D14*GOV!$G10)+$D14*$C14</f>
        <v>#VALUE!</v>
      </c>
      <c r="G14" s="10"/>
      <c r="H14" s="9"/>
      <c r="J14" s="4" t="s">
        <v>85</v>
      </c>
      <c r="K14" s="6"/>
      <c r="M14" s="4"/>
    </row>
    <row r="15" spans="1:14">
      <c r="A15" s="1"/>
      <c r="B15" s="5" t="s">
        <v>64</v>
      </c>
      <c r="C15" s="16">
        <v>8</v>
      </c>
      <c r="D15" s="29" t="str">
        <f>IF(C15="","-",VLOOKUP($C$3,EMS!$F$3:$AI$5,21,FALSE))</f>
        <v>123-456-790</v>
      </c>
      <c r="E15" s="29" t="e">
        <f>($D15*GOV!$G11)+$D15*$C15</f>
        <v>#VALUE!</v>
      </c>
      <c r="G15" s="10" t="s">
        <v>133</v>
      </c>
      <c r="H15" s="6"/>
      <c r="J15" s="4" t="s">
        <v>87</v>
      </c>
      <c r="K15" s="6"/>
      <c r="M15" s="4" t="s">
        <v>82</v>
      </c>
      <c r="N15" s="6"/>
    </row>
    <row r="16" spans="1:14">
      <c r="A16" s="1"/>
      <c r="B16" s="5" t="s">
        <v>65</v>
      </c>
      <c r="C16" s="16">
        <v>9</v>
      </c>
      <c r="D16" s="29" t="str">
        <f>IF(C16="","-",VLOOKUP($C$3,EMS!$F$3:$AI$5,21,FALSE))</f>
        <v>123-456-790</v>
      </c>
      <c r="E16" s="29" t="e">
        <f>($D16*GOV!$G12)+$D16*$C16</f>
        <v>#VALUE!</v>
      </c>
      <c r="G16" s="10" t="s">
        <v>134</v>
      </c>
      <c r="H16" s="6"/>
    </row>
    <row r="17" spans="1:12">
      <c r="A17" s="1"/>
      <c r="B17" s="5" t="s">
        <v>130</v>
      </c>
      <c r="C17" s="16">
        <v>10</v>
      </c>
      <c r="D17" s="29" t="str">
        <f>IF(C17="","-",VLOOKUP($C$3,EMS!$F$3:$AI$5,21,FALSE))</f>
        <v>123-456-790</v>
      </c>
      <c r="E17" s="29" t="e">
        <f>($D17*GOV!$G13)+$D17*$C17</f>
        <v>#VALUE!</v>
      </c>
    </row>
    <row r="18" spans="1:12">
      <c r="A18" s="1"/>
      <c r="B18" s="5" t="s">
        <v>68</v>
      </c>
      <c r="C18" s="16">
        <v>1</v>
      </c>
      <c r="D18" s="29">
        <f>IF(C18="","-",VLOOKUP($C$3,EMS!$F$3:$AI$5,22,FALSE))</f>
        <v>0</v>
      </c>
      <c r="E18" s="29">
        <f>$D$18*$C$18</f>
        <v>0</v>
      </c>
    </row>
    <row r="19" spans="1:12">
      <c r="A19" s="1"/>
    </row>
    <row r="26" spans="1:12">
      <c r="E26" s="3"/>
      <c r="F26" s="3"/>
      <c r="G26" s="3"/>
      <c r="H26" s="3"/>
      <c r="I26" s="3"/>
      <c r="J26" s="3"/>
      <c r="K26" s="3"/>
      <c r="L26" s="3"/>
    </row>
  </sheetData>
  <mergeCells count="2">
    <mergeCell ref="C3:E3"/>
    <mergeCell ref="C2:E2"/>
  </mergeCells>
  <pageMargins left="0.7" right="0.7" top="0.75" bottom="0.75" header="0.3" footer="0.3"/>
  <ignoredErrors>
    <ignoredError sqref="D8" 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E61108-FEDB-47FC-9F35-C079477D65FC}">
          <x14:formula1>
            <xm:f>EMS!$F$3:$F$19</xm:f>
          </x14:formula1>
          <xm:sqref>C3:E3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33E6-F2B6-4E52-9EAD-4BE88B1CDAA9}">
  <sheetPr codeName="Sheet3"/>
  <dimension ref="A1:AX18"/>
  <sheetViews>
    <sheetView zoomScale="85" zoomScaleNormal="85" workbookViewId="0">
      <selection activeCell="AL3" sqref="AL3"/>
    </sheetView>
  </sheetViews>
  <sheetFormatPr defaultRowHeight="14.4"/>
  <cols>
    <col min="1" max="1" width="16.109375" bestFit="1" customWidth="1"/>
    <col min="2" max="2" width="17.109375" bestFit="1" customWidth="1"/>
    <col min="3" max="3" width="9.5546875" bestFit="1" customWidth="1"/>
    <col min="4" max="4" width="9.5546875" customWidth="1"/>
    <col min="5" max="7" width="15.6640625" style="15" customWidth="1"/>
    <col min="8" max="26" width="9.5546875" customWidth="1"/>
    <col min="27" max="27" width="12.6640625" bestFit="1" customWidth="1"/>
    <col min="28" max="31" width="12.6640625" customWidth="1"/>
    <col min="32" max="32" width="23.44140625" bestFit="1" customWidth="1"/>
    <col min="35" max="35" width="9.5546875" bestFit="1" customWidth="1"/>
    <col min="36" max="36" width="17.33203125" bestFit="1" customWidth="1"/>
    <col min="37" max="37" width="20.109375" bestFit="1" customWidth="1"/>
    <col min="38" max="38" width="20.109375" customWidth="1"/>
    <col min="39" max="39" width="11.33203125" bestFit="1" customWidth="1"/>
    <col min="40" max="40" width="19.44140625" bestFit="1" customWidth="1"/>
    <col min="41" max="41" width="17.33203125" bestFit="1" customWidth="1"/>
    <col min="42" max="42" width="16.33203125" bestFit="1" customWidth="1"/>
    <col min="43" max="43" width="23.44140625" bestFit="1" customWidth="1"/>
    <col min="44" max="44" width="21.33203125" bestFit="1" customWidth="1"/>
    <col min="45" max="45" width="22.33203125" bestFit="1" customWidth="1"/>
    <col min="47" max="47" width="17" bestFit="1" customWidth="1"/>
    <col min="48" max="48" width="16.33203125" bestFit="1" customWidth="1"/>
    <col min="50" max="50" width="16.5546875" bestFit="1" customWidth="1"/>
  </cols>
  <sheetData>
    <row r="1" spans="1:50">
      <c r="A1" s="2"/>
      <c r="B1" s="2"/>
      <c r="C1" s="2"/>
      <c r="D1" s="2"/>
      <c r="E1" s="41" t="s">
        <v>48</v>
      </c>
      <c r="F1" s="41"/>
      <c r="G1" s="41"/>
      <c r="H1" s="40" t="s">
        <v>49</v>
      </c>
      <c r="I1" s="40"/>
      <c r="J1" s="40"/>
      <c r="K1" s="40" t="s">
        <v>50</v>
      </c>
      <c r="L1" s="40"/>
      <c r="M1" s="40"/>
      <c r="N1" s="40" t="s">
        <v>51</v>
      </c>
      <c r="O1" s="40"/>
      <c r="P1" s="40"/>
      <c r="Q1" s="40" t="s">
        <v>53</v>
      </c>
      <c r="R1" s="40"/>
      <c r="S1" s="40"/>
      <c r="T1" s="40" t="s">
        <v>54</v>
      </c>
      <c r="U1" s="40"/>
      <c r="V1" s="40"/>
      <c r="W1" s="40" t="s">
        <v>66</v>
      </c>
      <c r="X1" s="40"/>
      <c r="Y1" s="40"/>
      <c r="Z1" s="40" t="s">
        <v>67</v>
      </c>
      <c r="AA1" s="40"/>
      <c r="AB1" s="40"/>
      <c r="AC1" s="40" t="s">
        <v>92</v>
      </c>
      <c r="AD1" s="40"/>
      <c r="AE1" s="40"/>
      <c r="AF1" s="40" t="s">
        <v>20</v>
      </c>
      <c r="AG1" s="40"/>
      <c r="AH1" s="40"/>
      <c r="AI1" s="40"/>
      <c r="AJ1" s="40"/>
      <c r="AK1" s="2"/>
      <c r="AL1" s="12" t="s">
        <v>94</v>
      </c>
      <c r="AM1" s="40" t="s">
        <v>13</v>
      </c>
      <c r="AN1" s="40"/>
      <c r="AO1" s="40"/>
      <c r="AP1" s="40" t="s">
        <v>14</v>
      </c>
      <c r="AQ1" s="40"/>
      <c r="AR1" s="40"/>
      <c r="AS1" s="40"/>
      <c r="AT1" s="2"/>
      <c r="AU1" s="40" t="s">
        <v>55</v>
      </c>
      <c r="AV1" s="40"/>
      <c r="AW1" s="40"/>
      <c r="AX1" s="40"/>
    </row>
    <row r="2" spans="1:50">
      <c r="A2" s="2" t="s">
        <v>44</v>
      </c>
      <c r="B2" s="2" t="s">
        <v>41</v>
      </c>
      <c r="C2" s="2" t="s">
        <v>42</v>
      </c>
      <c r="D2" s="2" t="s">
        <v>43</v>
      </c>
      <c r="E2" s="15" t="s">
        <v>45</v>
      </c>
      <c r="F2" s="15" t="s">
        <v>46</v>
      </c>
      <c r="G2" s="15" t="s">
        <v>47</v>
      </c>
      <c r="H2" s="2" t="s">
        <v>52</v>
      </c>
      <c r="I2" s="2" t="s">
        <v>46</v>
      </c>
      <c r="J2" s="2" t="s">
        <v>47</v>
      </c>
      <c r="K2" s="2" t="s">
        <v>52</v>
      </c>
      <c r="L2" s="2" t="s">
        <v>46</v>
      </c>
      <c r="M2" s="2" t="s">
        <v>47</v>
      </c>
      <c r="N2" s="2" t="s">
        <v>52</v>
      </c>
      <c r="O2" s="2" t="s">
        <v>46</v>
      </c>
      <c r="P2" s="2" t="s">
        <v>47</v>
      </c>
      <c r="Q2" s="2" t="s">
        <v>52</v>
      </c>
      <c r="R2" s="2" t="s">
        <v>46</v>
      </c>
      <c r="S2" s="2" t="s">
        <v>47</v>
      </c>
      <c r="T2" s="2" t="s">
        <v>52</v>
      </c>
      <c r="U2" s="2" t="s">
        <v>46</v>
      </c>
      <c r="V2" s="2" t="s">
        <v>47</v>
      </c>
      <c r="W2" s="2" t="s">
        <v>52</v>
      </c>
      <c r="X2" s="2" t="s">
        <v>46</v>
      </c>
      <c r="Y2" s="2" t="s">
        <v>47</v>
      </c>
      <c r="Z2" s="2" t="s">
        <v>52</v>
      </c>
      <c r="AA2" s="2" t="s">
        <v>46</v>
      </c>
      <c r="AB2" s="2" t="s">
        <v>47</v>
      </c>
      <c r="AC2" s="12" t="s">
        <v>52</v>
      </c>
      <c r="AD2" s="12" t="s">
        <v>46</v>
      </c>
      <c r="AE2" s="12" t="s">
        <v>47</v>
      </c>
      <c r="AF2" s="3" t="s">
        <v>23</v>
      </c>
      <c r="AG2" s="3" t="s">
        <v>24</v>
      </c>
      <c r="AH2" s="3" t="s">
        <v>25</v>
      </c>
      <c r="AI2" s="3" t="s">
        <v>26</v>
      </c>
      <c r="AJ2" s="3" t="s">
        <v>27</v>
      </c>
      <c r="AK2" s="2" t="s">
        <v>39</v>
      </c>
      <c r="AL2" s="12" t="s">
        <v>91</v>
      </c>
      <c r="AM2" s="2" t="s">
        <v>37</v>
      </c>
      <c r="AN2" s="2" t="s">
        <v>33</v>
      </c>
      <c r="AO2" s="2" t="s">
        <v>32</v>
      </c>
      <c r="AP2" s="2" t="s">
        <v>38</v>
      </c>
      <c r="AQ2" s="2" t="s">
        <v>34</v>
      </c>
      <c r="AR2" s="2" t="s">
        <v>35</v>
      </c>
      <c r="AS2" s="2" t="s">
        <v>36</v>
      </c>
      <c r="AT2" s="2" t="s">
        <v>40</v>
      </c>
      <c r="AU2" s="3" t="s">
        <v>28</v>
      </c>
      <c r="AV2" s="3" t="s">
        <v>29</v>
      </c>
      <c r="AW2" s="3" t="s">
        <v>30</v>
      </c>
      <c r="AX2" s="3" t="s">
        <v>31</v>
      </c>
    </row>
    <row r="7" spans="1:50">
      <c r="B7" s="1"/>
    </row>
    <row r="8" spans="1:50">
      <c r="B8" s="1"/>
    </row>
    <row r="9" spans="1:50">
      <c r="B9" s="1"/>
    </row>
    <row r="10" spans="1:50">
      <c r="B10" s="1"/>
    </row>
    <row r="11" spans="1:50">
      <c r="B11" s="1"/>
    </row>
    <row r="12" spans="1:50">
      <c r="B12" s="1"/>
    </row>
    <row r="13" spans="1:50">
      <c r="B13" s="1"/>
    </row>
    <row r="14" spans="1:50">
      <c r="B14" s="1"/>
      <c r="Q14" s="14"/>
      <c r="R14" s="14"/>
      <c r="S14" s="14"/>
      <c r="T14" s="14"/>
      <c r="U14" s="14"/>
      <c r="V14" s="14"/>
    </row>
    <row r="15" spans="1:50">
      <c r="B15" s="1"/>
    </row>
    <row r="16" spans="1:50">
      <c r="B16" s="1"/>
    </row>
    <row r="17" spans="2:2">
      <c r="B17" s="1"/>
    </row>
    <row r="18" spans="2:2">
      <c r="B18" s="1"/>
    </row>
  </sheetData>
  <mergeCells count="13">
    <mergeCell ref="E1:G1"/>
    <mergeCell ref="H1:J1"/>
    <mergeCell ref="K1:M1"/>
    <mergeCell ref="N1:P1"/>
    <mergeCell ref="W1:Y1"/>
    <mergeCell ref="AM1:AO1"/>
    <mergeCell ref="AP1:AS1"/>
    <mergeCell ref="AU1:AX1"/>
    <mergeCell ref="Q1:S1"/>
    <mergeCell ref="T1:V1"/>
    <mergeCell ref="AF1:AJ1"/>
    <mergeCell ref="Z1:AB1"/>
    <mergeCell ref="AC1:AE1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EMS</vt:lpstr>
      <vt:lpstr>GOV</vt:lpstr>
      <vt:lpstr>PMS</vt:lpstr>
      <vt:lpstr>PMS_DB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Delos Santos, Jasond</dc:creator>
  <cp:lastModifiedBy>Delos Santos, Jasond</cp:lastModifiedBy>
  <dcterms:created xsi:type="dcterms:W3CDTF">2021-06-09T08:49:50Z</dcterms:created>
  <dcterms:modified xsi:type="dcterms:W3CDTF">2021-06-18T15:13:45Z</dcterms:modified>
</cp:coreProperties>
</file>