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delosanto\Desktop\PROJECTS\Code Editor\GitHub\Public-Projects\Excel\"/>
    </mc:Choice>
  </mc:AlternateContent>
  <xr:revisionPtr revIDLastSave="0" documentId="13_ncr:1_{8FE8811E-34E7-4189-9419-EFAB83EE7A89}" xr6:coauthVersionLast="36" xr6:coauthVersionMax="47" xr10:uidLastSave="{00000000-0000-0000-0000-000000000000}"/>
  <bookViews>
    <workbookView xWindow="23880" yWindow="-2736" windowWidth="29040" windowHeight="15996" activeTab="1" xr2:uid="{556A9ACD-058C-492E-8F64-FE71BA3D3FDC}"/>
  </bookViews>
  <sheets>
    <sheet name="EMS" sheetId="1" r:id="rId1"/>
    <sheet name="GOV" sheetId="4" r:id="rId2"/>
    <sheet name="PMS" sheetId="2" r:id="rId3"/>
    <sheet name="PMS_DB" sheetId="3" r:id="rId4"/>
  </sheets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2" l="1"/>
  <c r="E11" i="2"/>
  <c r="D8" i="2"/>
  <c r="D9" i="2"/>
  <c r="D10" i="2"/>
  <c r="D12" i="2"/>
  <c r="D13" i="2"/>
  <c r="D14" i="2"/>
  <c r="D15" i="2"/>
  <c r="D7" i="2"/>
  <c r="H7" i="2"/>
  <c r="E7" i="2"/>
  <c r="H12" i="2"/>
  <c r="H11" i="2"/>
  <c r="H10" i="2"/>
  <c r="H9" i="2"/>
  <c r="H8" i="2"/>
  <c r="X3" i="1"/>
  <c r="N12" i="2"/>
  <c r="Y3" i="1"/>
  <c r="Z3" i="1"/>
  <c r="F3" i="1"/>
</calcChain>
</file>

<file path=xl/sharedStrings.xml><?xml version="1.0" encoding="utf-8"?>
<sst xmlns="http://schemas.openxmlformats.org/spreadsheetml/2006/main" count="156" uniqueCount="128">
  <si>
    <t>NO.</t>
  </si>
  <si>
    <t>F.NAME</t>
  </si>
  <si>
    <t>M.I</t>
  </si>
  <si>
    <t>S.NAME</t>
  </si>
  <si>
    <t>EMPLOYEE NO.</t>
  </si>
  <si>
    <t>STREET ADDRESS</t>
  </si>
  <si>
    <t>APARTMENT/ UNIT #</t>
  </si>
  <si>
    <t>CITY</t>
  </si>
  <si>
    <t>PROVINCE</t>
  </si>
  <si>
    <t>POSTAL CODE</t>
  </si>
  <si>
    <t>EMAIL ADDRESS</t>
  </si>
  <si>
    <t>CP NO.</t>
  </si>
  <si>
    <t>TEL. NO.</t>
  </si>
  <si>
    <t>SSS</t>
  </si>
  <si>
    <t>PAG-IBIG</t>
  </si>
  <si>
    <t>PHIL-HEALTH</t>
  </si>
  <si>
    <t>BIRTHDATE</t>
  </si>
  <si>
    <t>CIVIL STATUS</t>
  </si>
  <si>
    <t>COMPAMY STATUS</t>
  </si>
  <si>
    <t>BASIC SALARY</t>
  </si>
  <si>
    <t>ALLOWANCES</t>
  </si>
  <si>
    <t>ALLOWANCE</t>
  </si>
  <si>
    <t>DATE HIRED</t>
  </si>
  <si>
    <t>LAUNDRY</t>
  </si>
  <si>
    <t>RICE</t>
  </si>
  <si>
    <t>MEAL</t>
  </si>
  <si>
    <t>TRANSPO.</t>
  </si>
  <si>
    <t>WORKPLACE SUBS.</t>
  </si>
  <si>
    <t>PROVIDENT FUND.</t>
  </si>
  <si>
    <t>RETRO BASIC PAY</t>
  </si>
  <si>
    <t>BONUS</t>
  </si>
  <si>
    <t>13TH MONTH PAY</t>
  </si>
  <si>
    <t>SSS - SALARY LOAN</t>
  </si>
  <si>
    <t>SSS - CALAMITY LOAN</t>
  </si>
  <si>
    <t>PAG-IBIG CALAMITY LOAN</t>
  </si>
  <si>
    <t>PAG-IBIG SALARY LOAN</t>
  </si>
  <si>
    <t>PAG-IBIG HOUSING LOAN</t>
  </si>
  <si>
    <t>SSS CONTRI.</t>
  </si>
  <si>
    <t>PAG-IBIG CONTRI.</t>
  </si>
  <si>
    <t>PHIL-HEALTH CONTRI.</t>
  </si>
  <si>
    <t>TAX</t>
  </si>
  <si>
    <t>FROM</t>
  </si>
  <si>
    <t>TO</t>
  </si>
  <si>
    <t>PAY DATE</t>
  </si>
  <si>
    <t>EMPLOYEE NAME</t>
  </si>
  <si>
    <t>DAYS</t>
  </si>
  <si>
    <t>AMOUNT</t>
  </si>
  <si>
    <t>TOTAL</t>
  </si>
  <si>
    <t>REGULAR DAY</t>
  </si>
  <si>
    <t>REGULAR OT</t>
  </si>
  <si>
    <t>NIGHT SHIFT</t>
  </si>
  <si>
    <t>NIGHT SHIFT OT</t>
  </si>
  <si>
    <t>HRS</t>
  </si>
  <si>
    <t>SPECIAL HOLIDAYS</t>
  </si>
  <si>
    <t>SPECIAL HOLIDAYS OT</t>
  </si>
  <si>
    <t>COMPANY</t>
  </si>
  <si>
    <t>Employee Name:</t>
  </si>
  <si>
    <t>Employee No:</t>
  </si>
  <si>
    <t>Category</t>
  </si>
  <si>
    <t>Regular Days:</t>
  </si>
  <si>
    <t>Regulat OT:</t>
  </si>
  <si>
    <t>Night Shift OT:</t>
  </si>
  <si>
    <t>Night Shift:</t>
  </si>
  <si>
    <t>Special Holday:</t>
  </si>
  <si>
    <t>Regular Holiday:</t>
  </si>
  <si>
    <t>Regular Holiday OT:</t>
  </si>
  <si>
    <t>REGULAR HOLIDAY</t>
  </si>
  <si>
    <t>REGULAR HOLIDAY OT</t>
  </si>
  <si>
    <t>Tardiness:</t>
  </si>
  <si>
    <t>Days/Hrs</t>
  </si>
  <si>
    <t>Amount</t>
  </si>
  <si>
    <t>Total Amount</t>
  </si>
  <si>
    <t>SSS Contri:</t>
  </si>
  <si>
    <t>Phil.H Contri:</t>
  </si>
  <si>
    <t>Pag-Ibig Contri:</t>
  </si>
  <si>
    <t>SSS Cal. Loan:</t>
  </si>
  <si>
    <t>Special Hol. OT:</t>
  </si>
  <si>
    <t>TRANSPO.:</t>
  </si>
  <si>
    <t>MEAL:</t>
  </si>
  <si>
    <t>RICE:</t>
  </si>
  <si>
    <t>LAUNDRY:</t>
  </si>
  <si>
    <t>WORK.SUBS.:</t>
  </si>
  <si>
    <t>Cash Advance:</t>
  </si>
  <si>
    <t>Net Pay:</t>
  </si>
  <si>
    <t>Total Gross:</t>
  </si>
  <si>
    <t>Tax:</t>
  </si>
  <si>
    <t>Pagibig Sal. Loan:</t>
  </si>
  <si>
    <t>Pagibig Cal. Loan:</t>
  </si>
  <si>
    <t>Pagibig Hous. Loan:</t>
  </si>
  <si>
    <t>To:</t>
  </si>
  <si>
    <t>From:</t>
  </si>
  <si>
    <t>Pay Date:</t>
  </si>
  <si>
    <t>Dependent</t>
  </si>
  <si>
    <t>TARDINESS</t>
  </si>
  <si>
    <t>ALLOWANCE:</t>
  </si>
  <si>
    <t>HMO W/</t>
  </si>
  <si>
    <t>HMO:</t>
  </si>
  <si>
    <t>Basic Salary:</t>
  </si>
  <si>
    <t>BIR</t>
  </si>
  <si>
    <t>Jasond</t>
  </si>
  <si>
    <t>Villaranda</t>
  </si>
  <si>
    <t>Delos Santos</t>
  </si>
  <si>
    <t>FULL NAME</t>
  </si>
  <si>
    <t>Jasond V. Delos Santos</t>
  </si>
  <si>
    <t>SALARY</t>
  </si>
  <si>
    <t>CUT OFF</t>
  </si>
  <si>
    <t>PER DAY</t>
  </si>
  <si>
    <t>PER HOUR</t>
  </si>
  <si>
    <t>REGULAR</t>
  </si>
  <si>
    <t>123-456-789</t>
  </si>
  <si>
    <t>123-456-790</t>
  </si>
  <si>
    <t>SSS Sal. Loan:</t>
  </si>
  <si>
    <t>Personal Income TAX</t>
  </si>
  <si>
    <t>Dividend</t>
  </si>
  <si>
    <t>Interest</t>
  </si>
  <si>
    <t>Royalty</t>
  </si>
  <si>
    <t>Technical Fee</t>
  </si>
  <si>
    <t>Regular Holiday</t>
  </si>
  <si>
    <t>Special Holiday</t>
  </si>
  <si>
    <t>Rest Day Pay</t>
  </si>
  <si>
    <t>Regular Holiday and Rest Day</t>
  </si>
  <si>
    <t>Regular OT</t>
  </si>
  <si>
    <t>Special Holiday &amp; Rest Day</t>
  </si>
  <si>
    <t>Special Holiday OT</t>
  </si>
  <si>
    <t>Regular Holiday OT</t>
  </si>
  <si>
    <t>Employer</t>
  </si>
  <si>
    <t>OT &amp; Holiday</t>
  </si>
  <si>
    <t>Government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</si>
</sst>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₱-3409]#,##0"/>
    <numFmt numFmtId="165" formatCode="[$₱-3409]#,##0.00"/>
    <numFmt numFmtId="166" formatCode="[$₱-464]#,##0"/>
    <numFmt numFmtId="167" formatCode="[$₱-464]#,##0.0"/>
    <numFmt numFmtId="168" formatCode="[$₱-464]#,##0.00"/>
  </numFmts>
  <fonts count="2">
    <font>
      <sz val="11"/>
      <color theme="1"/>
      <name val="Calibri"/>
      <family val="2"/>
      <charset val="128"/>
      <scheme val="minor"/>
    </font>
    <font>
      <sz val="8"/>
      <name val="Calibri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1" xfId="0" applyBorder="1"/>
    <xf numFmtId="0" fontId="0" fillId="0" borderId="0" xfId="0" quotePrefix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0" xfId="0" applyFill="1" applyBorder="1" applyAlignment="1">
      <alignment horizontal="right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6" fontId="0" fillId="0" borderId="0" xfId="0" applyNumberFormat="1"/>
    <xf numFmtId="166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8" fontId="0" fillId="0" borderId="1" xfId="0" quotePrefix="1" applyNumberFormat="1" applyBorder="1" applyAlignment="1">
      <alignment horizontal="center" vertical="center"/>
    </xf>
    <xf numFmtId="168" fontId="0" fillId="0" borderId="0" xfId="0" applyNumberFormat="1"/>
    <xf numFmtId="9" fontId="0" fillId="0" borderId="2" xfId="0" applyNumberFormat="1" applyBorder="1" applyAlignment="1">
      <alignment horizontal="center" vertical="center"/>
    </xf>
    <xf numFmtId="9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171450</xdr:colOff>
      <xdr:row>16</xdr:row>
      <xdr:rowOff>152400</xdr:rowOff>
    </xdr:from>
    <xdr:to>
      <xdr:col>4</xdr:col>
      <xdr:colOff>800100</xdr:colOff>
      <xdr:row>18</xdr:row>
      <xdr:rowOff>104775</xdr:rowOff>
    </xdr:to>
    <xdr:sp macro="[0]!Add_Record" textlink="">
      <xdr:nvSpPr>
        <xdr:cNvPr id="2" name="Rectangle 1">
          <a:extLst>
            <a:ext uri="{FF2B5EF4-FFF2-40B4-BE49-F238E27FC236}">
              <a16:creationId xmlns:a16="http://schemas.microsoft.com/office/drawing/2014/main" id="{34AAA4BF-54C3-4F8A-B112-B1E248E81C77}"/>
            </a:ext>
          </a:extLst>
        </xdr:cNvPr>
        <xdr:cNvSpPr/>
      </xdr:nvSpPr>
      <xdr:spPr>
        <a:xfrm>
          <a:off x="2200275" y="3048000"/>
          <a:ext cx="2105025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/>
            <a:t>ADD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A1C13-D52C-4A15-B5D0-4731672BEE1C}">
  <sheetPr codeName="Sheet1"/>
  <dimension ref="A1:AE111"/>
  <sheetViews>
    <sheetView topLeftCell="P1" zoomScale="85" zoomScaleNormal="85" workbookViewId="0">
      <selection activeCell="Z3" sqref="Z3"/>
    </sheetView>
  </sheetViews>
  <sheetFormatPr defaultRowHeight="14.4"/>
  <cols>
    <col min="1" max="1" width="9.109375" style="19"/>
    <col min="2" max="2" width="13.6640625" bestFit="1" customWidth="1"/>
    <col min="3" max="5" width="15.6640625" style="19" customWidth="1"/>
    <col min="6" max="6" width="30.6640625" style="19" customWidth="1"/>
    <col min="7" max="7" width="20.6640625" customWidth="1"/>
    <col min="8" max="8" width="25.6640625" customWidth="1"/>
    <col min="9" max="10" width="15.6640625" customWidth="1"/>
    <col min="11" max="11" width="12.6640625" bestFit="1" customWidth="1"/>
    <col min="12" max="12" width="30.6640625" customWidth="1"/>
    <col min="13" max="13" width="14.5546875" customWidth="1"/>
    <col min="14" max="15" width="15.6640625" customWidth="1"/>
    <col min="16" max="18" width="12.6640625" customWidth="1"/>
    <col min="19" max="19" width="23.44140625" bestFit="1" customWidth="1"/>
    <col min="20" max="20" width="12.109375" bestFit="1" customWidth="1"/>
    <col min="21" max="21" width="17.33203125" bestFit="1" customWidth="1"/>
    <col min="22" max="22" width="17.33203125" customWidth="1"/>
    <col min="23" max="23" width="12.88671875" bestFit="1" customWidth="1"/>
    <col min="24" max="26" width="12.88671875" customWidth="1"/>
    <col min="27" max="27" width="12.6640625" customWidth="1"/>
    <col min="29" max="29" width="30.6640625" style="13" customWidth="1"/>
  </cols>
  <sheetData>
    <row r="1" spans="1:31">
      <c r="W1" s="22" t="s">
        <v>104</v>
      </c>
      <c r="X1" s="22"/>
      <c r="Y1" s="22"/>
      <c r="Z1" s="22"/>
    </row>
    <row r="2" spans="1:31">
      <c r="A2" s="13" t="s">
        <v>0</v>
      </c>
      <c r="B2" s="13" t="s">
        <v>4</v>
      </c>
      <c r="C2" s="13" t="s">
        <v>1</v>
      </c>
      <c r="D2" s="13" t="s">
        <v>2</v>
      </c>
      <c r="E2" s="13" t="s">
        <v>3</v>
      </c>
      <c r="F2" s="13" t="s">
        <v>102</v>
      </c>
      <c r="G2" s="13" t="s">
        <v>6</v>
      </c>
      <c r="H2" s="13" t="s">
        <v>5</v>
      </c>
      <c r="I2" s="13" t="s">
        <v>7</v>
      </c>
      <c r="J2" s="13" t="s">
        <v>8</v>
      </c>
      <c r="K2" s="13" t="s">
        <v>9</v>
      </c>
      <c r="L2" s="13" t="s">
        <v>10</v>
      </c>
      <c r="M2" s="13" t="s">
        <v>16</v>
      </c>
      <c r="N2" s="13" t="s">
        <v>11</v>
      </c>
      <c r="O2" s="13" t="s">
        <v>12</v>
      </c>
      <c r="P2" s="13" t="s">
        <v>13</v>
      </c>
      <c r="Q2" s="13" t="s">
        <v>14</v>
      </c>
      <c r="R2" s="13" t="s">
        <v>15</v>
      </c>
      <c r="S2" s="13" t="s">
        <v>98</v>
      </c>
      <c r="T2" s="13" t="s">
        <v>17</v>
      </c>
      <c r="U2" s="13" t="s">
        <v>18</v>
      </c>
      <c r="V2" s="13" t="s">
        <v>22</v>
      </c>
      <c r="W2" s="13" t="s">
        <v>19</v>
      </c>
      <c r="X2" s="13" t="s">
        <v>105</v>
      </c>
      <c r="Y2" s="13" t="s">
        <v>106</v>
      </c>
      <c r="Z2" s="13" t="s">
        <v>107</v>
      </c>
      <c r="AA2" s="13" t="s">
        <v>21</v>
      </c>
      <c r="AD2" s="19"/>
      <c r="AE2" s="13"/>
    </row>
    <row r="3" spans="1:31">
      <c r="A3" s="19">
        <v>1</v>
      </c>
      <c r="C3" s="19" t="s">
        <v>99</v>
      </c>
      <c r="D3" s="19" t="s">
        <v>100</v>
      </c>
      <c r="E3" s="19" t="s">
        <v>101</v>
      </c>
      <c r="F3" s="19" t="str">
        <f>C3 &amp;" "&amp; LEFT(D3,1)&amp;"."&amp; " " &amp; E3</f>
        <v>Jasond V. Delos Santos</v>
      </c>
      <c r="P3" s="19" t="s">
        <v>109</v>
      </c>
      <c r="Q3" s="19" t="s">
        <v>109</v>
      </c>
      <c r="R3" s="19" t="s">
        <v>109</v>
      </c>
      <c r="S3" s="19" t="s">
        <v>110</v>
      </c>
      <c r="U3" t="s">
        <v>108</v>
      </c>
      <c r="W3" s="21">
        <v>25000</v>
      </c>
      <c r="X3" s="21">
        <f>W3/2</f>
        <v>12500</v>
      </c>
      <c r="Y3" s="21">
        <f>X3/10</f>
        <v>1250</v>
      </c>
      <c r="Z3" s="21">
        <f>Y3/8</f>
        <v>156.25</v>
      </c>
      <c r="AA3" s="29">
        <v>3000</v>
      </c>
    </row>
    <row r="4" spans="1:31">
      <c r="W4" s="20"/>
      <c r="X4" s="20"/>
      <c r="Y4" s="20"/>
      <c r="Z4" s="20"/>
      <c r="AA4" s="29"/>
    </row>
    <row r="5" spans="1:31">
      <c r="W5" s="20"/>
      <c r="X5" s="20"/>
      <c r="Y5" s="20"/>
      <c r="Z5" s="20"/>
      <c r="AA5" s="29"/>
    </row>
    <row r="6" spans="1:31">
      <c r="W6" s="20"/>
      <c r="X6" s="20"/>
      <c r="Y6" s="20"/>
      <c r="Z6" s="20"/>
      <c r="AA6" s="29"/>
    </row>
    <row r="7" spans="1:31">
      <c r="W7" s="20"/>
      <c r="X7" s="20"/>
      <c r="Y7" s="20"/>
      <c r="Z7" s="20"/>
      <c r="AA7" s="29"/>
    </row>
    <row r="8" spans="1:31">
      <c r="W8" s="20"/>
      <c r="X8" s="20"/>
      <c r="Y8" s="20"/>
      <c r="Z8" s="20"/>
      <c r="AA8" s="29"/>
    </row>
    <row r="9" spans="1:31">
      <c r="W9" s="20"/>
      <c r="X9" s="20"/>
      <c r="Y9" s="20"/>
      <c r="Z9" s="20"/>
      <c r="AA9" s="29"/>
    </row>
    <row r="10" spans="1:31">
      <c r="W10" s="20"/>
      <c r="X10" s="20"/>
      <c r="Y10" s="20"/>
      <c r="Z10" s="20"/>
      <c r="AA10" s="29"/>
    </row>
    <row r="11" spans="1:31">
      <c r="W11" s="20"/>
      <c r="X11" s="20"/>
      <c r="Y11" s="20"/>
      <c r="Z11" s="20"/>
      <c r="AA11" s="29"/>
    </row>
    <row r="12" spans="1:31">
      <c r="W12" s="20"/>
      <c r="X12" s="20"/>
      <c r="Y12" s="20"/>
      <c r="Z12" s="20"/>
      <c r="AA12" s="29"/>
    </row>
    <row r="13" spans="1:31">
      <c r="W13" s="20"/>
      <c r="X13" s="20"/>
      <c r="Y13" s="20"/>
      <c r="Z13" s="20"/>
      <c r="AA13" s="29"/>
    </row>
    <row r="14" spans="1:31">
      <c r="W14" s="20"/>
      <c r="X14" s="20"/>
      <c r="Y14" s="20"/>
      <c r="Z14" s="20"/>
      <c r="AA14" s="29"/>
    </row>
    <row r="15" spans="1:31">
      <c r="W15" s="20"/>
      <c r="X15" s="20"/>
      <c r="Y15" s="20"/>
      <c r="Z15" s="20"/>
      <c r="AA15" s="29"/>
    </row>
    <row r="16" spans="1:31">
      <c r="W16" s="20"/>
      <c r="X16" s="20"/>
      <c r="Y16" s="20"/>
      <c r="Z16" s="20"/>
      <c r="AA16" s="29"/>
    </row>
    <row r="17" spans="23:27">
      <c r="W17" s="20"/>
      <c r="X17" s="20"/>
      <c r="Y17" s="20"/>
      <c r="Z17" s="20"/>
      <c r="AA17" s="29"/>
    </row>
    <row r="18" spans="23:27">
      <c r="W18" s="20"/>
      <c r="X18" s="20"/>
      <c r="Y18" s="20"/>
      <c r="Z18" s="20"/>
      <c r="AA18" s="29"/>
    </row>
    <row r="19" spans="23:27">
      <c r="W19" s="20"/>
      <c r="X19" s="20"/>
      <c r="Y19" s="20"/>
      <c r="Z19" s="20"/>
      <c r="AA19" s="29"/>
    </row>
    <row r="20" spans="23:27">
      <c r="W20" s="20"/>
      <c r="X20" s="20"/>
      <c r="Y20" s="20"/>
      <c r="Z20" s="20"/>
      <c r="AA20" s="29"/>
    </row>
    <row r="21" spans="23:27">
      <c r="W21" s="20"/>
      <c r="X21" s="20"/>
      <c r="Y21" s="20"/>
      <c r="Z21" s="20"/>
      <c r="AA21" s="29"/>
    </row>
    <row r="22" spans="23:27">
      <c r="W22" s="20"/>
      <c r="X22" s="20"/>
      <c r="Y22" s="20"/>
      <c r="Z22" s="20"/>
      <c r="AA22" s="29"/>
    </row>
    <row r="23" spans="23:27">
      <c r="W23" s="20"/>
      <c r="X23" s="20"/>
      <c r="Y23" s="20"/>
      <c r="Z23" s="20"/>
      <c r="AA23" s="29"/>
    </row>
    <row r="24" spans="23:27">
      <c r="W24" s="20"/>
      <c r="X24" s="20"/>
      <c r="Y24" s="20"/>
      <c r="Z24" s="20"/>
      <c r="AA24" s="29"/>
    </row>
    <row r="25" spans="23:27">
      <c r="W25" s="20"/>
      <c r="X25" s="20"/>
      <c r="Y25" s="20"/>
      <c r="Z25" s="20"/>
      <c r="AA25" s="29"/>
    </row>
    <row r="26" spans="23:27">
      <c r="W26" s="20"/>
      <c r="X26" s="20"/>
      <c r="Y26" s="20"/>
      <c r="Z26" s="20"/>
      <c r="AA26" s="29"/>
    </row>
    <row r="27" spans="23:27">
      <c r="W27" s="20"/>
      <c r="X27" s="20"/>
      <c r="Y27" s="20"/>
      <c r="Z27" s="20"/>
    </row>
    <row r="28" spans="23:27">
      <c r="W28" s="20"/>
      <c r="X28" s="20"/>
      <c r="Y28" s="20"/>
      <c r="Z28" s="20"/>
    </row>
    <row r="29" spans="23:27">
      <c r="W29" s="20"/>
      <c r="X29" s="20"/>
      <c r="Y29" s="20"/>
      <c r="Z29" s="20"/>
    </row>
    <row r="30" spans="23:27">
      <c r="W30" s="20"/>
      <c r="X30" s="20"/>
      <c r="Y30" s="20"/>
      <c r="Z30" s="20"/>
    </row>
    <row r="31" spans="23:27">
      <c r="W31" s="20"/>
      <c r="X31" s="20"/>
      <c r="Y31" s="20"/>
      <c r="Z31" s="20"/>
    </row>
    <row r="32" spans="23:27">
      <c r="W32" s="20"/>
      <c r="X32" s="20"/>
      <c r="Y32" s="20"/>
      <c r="Z32" s="20"/>
    </row>
    <row r="33" spans="23:26">
      <c r="W33" s="20"/>
      <c r="X33" s="20"/>
      <c r="Y33" s="20"/>
      <c r="Z33" s="20"/>
    </row>
    <row r="34" spans="23:26">
      <c r="W34" s="20"/>
      <c r="X34" s="20"/>
      <c r="Y34" s="20"/>
      <c r="Z34" s="20"/>
    </row>
    <row r="35" spans="23:26">
      <c r="W35" s="20"/>
      <c r="X35" s="20"/>
      <c r="Y35" s="20"/>
      <c r="Z35" s="20"/>
    </row>
    <row r="36" spans="23:26">
      <c r="W36" s="20"/>
      <c r="X36" s="20"/>
      <c r="Y36" s="20"/>
      <c r="Z36" s="20"/>
    </row>
    <row r="37" spans="23:26">
      <c r="W37" s="20"/>
      <c r="X37" s="20"/>
      <c r="Y37" s="20"/>
      <c r="Z37" s="20"/>
    </row>
    <row r="38" spans="23:26">
      <c r="W38" s="20"/>
      <c r="X38" s="20"/>
      <c r="Y38" s="20"/>
      <c r="Z38" s="20"/>
    </row>
    <row r="39" spans="23:26">
      <c r="W39" s="20"/>
      <c r="X39" s="20"/>
      <c r="Y39" s="20"/>
      <c r="Z39" s="20"/>
    </row>
    <row r="40" spans="23:26">
      <c r="W40" s="20"/>
      <c r="X40" s="20"/>
      <c r="Y40" s="20"/>
      <c r="Z40" s="20"/>
    </row>
    <row r="41" spans="23:26">
      <c r="W41" s="20"/>
      <c r="X41" s="20"/>
      <c r="Y41" s="20"/>
      <c r="Z41" s="20"/>
    </row>
    <row r="42" spans="23:26">
      <c r="W42" s="20"/>
      <c r="X42" s="20"/>
      <c r="Y42" s="20"/>
      <c r="Z42" s="20"/>
    </row>
    <row r="43" spans="23:26">
      <c r="W43" s="20"/>
      <c r="X43" s="20"/>
      <c r="Y43" s="20"/>
      <c r="Z43" s="20"/>
    </row>
    <row r="44" spans="23:26">
      <c r="W44" s="20"/>
      <c r="X44" s="20"/>
      <c r="Y44" s="20"/>
      <c r="Z44" s="20"/>
    </row>
    <row r="45" spans="23:26">
      <c r="W45" s="20"/>
      <c r="X45" s="20"/>
      <c r="Y45" s="20"/>
      <c r="Z45" s="20"/>
    </row>
    <row r="46" spans="23:26">
      <c r="W46" s="20"/>
      <c r="X46" s="20"/>
      <c r="Y46" s="20"/>
      <c r="Z46" s="20"/>
    </row>
    <row r="47" spans="23:26">
      <c r="W47" s="20"/>
      <c r="X47" s="20"/>
      <c r="Y47" s="20"/>
      <c r="Z47" s="20"/>
    </row>
    <row r="48" spans="23:26">
      <c r="W48" s="20"/>
      <c r="X48" s="20"/>
      <c r="Y48" s="20"/>
      <c r="Z48" s="20"/>
    </row>
    <row r="49" spans="23:26">
      <c r="W49" s="20"/>
      <c r="X49" s="20"/>
      <c r="Y49" s="20"/>
      <c r="Z49" s="20"/>
    </row>
    <row r="50" spans="23:26">
      <c r="W50" s="20"/>
      <c r="X50" s="20"/>
      <c r="Y50" s="20"/>
      <c r="Z50" s="20"/>
    </row>
    <row r="51" spans="23:26">
      <c r="W51" s="20"/>
      <c r="X51" s="20"/>
      <c r="Y51" s="20"/>
      <c r="Z51" s="20"/>
    </row>
    <row r="52" spans="23:26">
      <c r="W52" s="20"/>
      <c r="X52" s="20"/>
      <c r="Y52" s="20"/>
      <c r="Z52" s="20"/>
    </row>
    <row r="53" spans="23:26">
      <c r="W53" s="20"/>
      <c r="X53" s="20"/>
      <c r="Y53" s="20"/>
      <c r="Z53" s="20"/>
    </row>
    <row r="54" spans="23:26">
      <c r="W54" s="20"/>
      <c r="X54" s="20"/>
      <c r="Y54" s="20"/>
      <c r="Z54" s="20"/>
    </row>
    <row r="55" spans="23:26">
      <c r="W55" s="20"/>
      <c r="X55" s="20"/>
      <c r="Y55" s="20"/>
      <c r="Z55" s="20"/>
    </row>
    <row r="56" spans="23:26">
      <c r="W56" s="20"/>
      <c r="X56" s="20"/>
      <c r="Y56" s="20"/>
      <c r="Z56" s="20"/>
    </row>
    <row r="57" spans="23:26">
      <c r="W57" s="20"/>
      <c r="X57" s="20"/>
      <c r="Y57" s="20"/>
      <c r="Z57" s="20"/>
    </row>
    <row r="58" spans="23:26">
      <c r="W58" s="20"/>
      <c r="X58" s="20"/>
      <c r="Y58" s="20"/>
      <c r="Z58" s="20"/>
    </row>
    <row r="59" spans="23:26">
      <c r="W59" s="20"/>
      <c r="X59" s="20"/>
      <c r="Y59" s="20"/>
      <c r="Z59" s="20"/>
    </row>
    <row r="60" spans="23:26">
      <c r="W60" s="20"/>
      <c r="X60" s="20"/>
      <c r="Y60" s="20"/>
      <c r="Z60" s="20"/>
    </row>
    <row r="61" spans="23:26">
      <c r="W61" s="20"/>
      <c r="X61" s="20"/>
      <c r="Y61" s="20"/>
      <c r="Z61" s="20"/>
    </row>
    <row r="62" spans="23:26">
      <c r="W62" s="20"/>
      <c r="X62" s="20"/>
      <c r="Y62" s="20"/>
      <c r="Z62" s="20"/>
    </row>
    <row r="63" spans="23:26">
      <c r="W63" s="20"/>
      <c r="X63" s="20"/>
      <c r="Y63" s="20"/>
      <c r="Z63" s="20"/>
    </row>
    <row r="64" spans="23:26">
      <c r="W64" s="20"/>
      <c r="X64" s="20"/>
      <c r="Y64" s="20"/>
      <c r="Z64" s="20"/>
    </row>
    <row r="65" spans="23:26">
      <c r="W65" s="20"/>
      <c r="X65" s="20"/>
      <c r="Y65" s="20"/>
      <c r="Z65" s="20"/>
    </row>
    <row r="66" spans="23:26">
      <c r="W66" s="20"/>
      <c r="X66" s="20"/>
      <c r="Y66" s="20"/>
      <c r="Z66" s="20"/>
    </row>
    <row r="67" spans="23:26">
      <c r="W67" s="20"/>
      <c r="X67" s="20"/>
      <c r="Y67" s="20"/>
      <c r="Z67" s="20"/>
    </row>
    <row r="68" spans="23:26">
      <c r="W68" s="20"/>
      <c r="X68" s="20"/>
      <c r="Y68" s="20"/>
      <c r="Z68" s="20"/>
    </row>
    <row r="69" spans="23:26">
      <c r="W69" s="20"/>
      <c r="X69" s="20"/>
      <c r="Y69" s="20"/>
      <c r="Z69" s="20"/>
    </row>
    <row r="70" spans="23:26">
      <c r="W70" s="20"/>
      <c r="X70" s="20"/>
      <c r="Y70" s="20"/>
      <c r="Z70" s="20"/>
    </row>
    <row r="71" spans="23:26">
      <c r="W71" s="20"/>
      <c r="X71" s="20"/>
      <c r="Y71" s="20"/>
      <c r="Z71" s="20"/>
    </row>
    <row r="72" spans="23:26">
      <c r="W72" s="20"/>
      <c r="X72" s="20"/>
      <c r="Y72" s="20"/>
      <c r="Z72" s="20"/>
    </row>
    <row r="73" spans="23:26">
      <c r="W73" s="20"/>
      <c r="X73" s="20"/>
      <c r="Y73" s="20"/>
      <c r="Z73" s="20"/>
    </row>
    <row r="74" spans="23:26">
      <c r="W74" s="20"/>
      <c r="X74" s="20"/>
      <c r="Y74" s="20"/>
      <c r="Z74" s="20"/>
    </row>
    <row r="75" spans="23:26">
      <c r="W75" s="20"/>
      <c r="X75" s="20"/>
      <c r="Y75" s="20"/>
      <c r="Z75" s="20"/>
    </row>
    <row r="76" spans="23:26">
      <c r="W76" s="20"/>
      <c r="X76" s="20"/>
      <c r="Y76" s="20"/>
      <c r="Z76" s="20"/>
    </row>
    <row r="77" spans="23:26">
      <c r="W77" s="20"/>
      <c r="X77" s="20"/>
      <c r="Y77" s="20"/>
      <c r="Z77" s="20"/>
    </row>
    <row r="78" spans="23:26">
      <c r="W78" s="20"/>
      <c r="X78" s="20"/>
      <c r="Y78" s="20"/>
      <c r="Z78" s="20"/>
    </row>
    <row r="79" spans="23:26">
      <c r="W79" s="20"/>
      <c r="X79" s="20"/>
      <c r="Y79" s="20"/>
      <c r="Z79" s="20"/>
    </row>
    <row r="80" spans="23:26">
      <c r="W80" s="20"/>
      <c r="X80" s="20"/>
      <c r="Y80" s="20"/>
      <c r="Z80" s="20"/>
    </row>
    <row r="81" spans="23:26">
      <c r="W81" s="20"/>
      <c r="X81" s="20"/>
      <c r="Y81" s="20"/>
      <c r="Z81" s="20"/>
    </row>
    <row r="82" spans="23:26">
      <c r="W82" s="20"/>
      <c r="X82" s="20"/>
      <c r="Y82" s="20"/>
      <c r="Z82" s="20"/>
    </row>
    <row r="83" spans="23:26">
      <c r="W83" s="20"/>
      <c r="X83" s="20"/>
      <c r="Y83" s="20"/>
      <c r="Z83" s="20"/>
    </row>
    <row r="84" spans="23:26">
      <c r="W84" s="20"/>
      <c r="X84" s="20"/>
      <c r="Y84" s="20"/>
      <c r="Z84" s="20"/>
    </row>
    <row r="85" spans="23:26">
      <c r="W85" s="20"/>
      <c r="X85" s="20"/>
      <c r="Y85" s="20"/>
      <c r="Z85" s="20"/>
    </row>
    <row r="86" spans="23:26">
      <c r="W86" s="20"/>
      <c r="X86" s="20"/>
      <c r="Y86" s="20"/>
      <c r="Z86" s="20"/>
    </row>
    <row r="87" spans="23:26">
      <c r="W87" s="20"/>
      <c r="X87" s="20"/>
      <c r="Y87" s="20"/>
      <c r="Z87" s="20"/>
    </row>
    <row r="88" spans="23:26">
      <c r="W88" s="20"/>
      <c r="X88" s="20"/>
      <c r="Y88" s="20"/>
      <c r="Z88" s="20"/>
    </row>
    <row r="89" spans="23:26">
      <c r="W89" s="20"/>
      <c r="X89" s="20"/>
      <c r="Y89" s="20"/>
      <c r="Z89" s="20"/>
    </row>
    <row r="90" spans="23:26">
      <c r="W90" s="20"/>
      <c r="X90" s="20"/>
      <c r="Y90" s="20"/>
      <c r="Z90" s="20"/>
    </row>
    <row r="91" spans="23:26">
      <c r="W91" s="20"/>
      <c r="X91" s="20"/>
      <c r="Y91" s="20"/>
      <c r="Z91" s="20"/>
    </row>
    <row r="92" spans="23:26">
      <c r="W92" s="20"/>
      <c r="X92" s="20"/>
      <c r="Y92" s="20"/>
      <c r="Z92" s="20"/>
    </row>
    <row r="93" spans="23:26">
      <c r="W93" s="20"/>
      <c r="X93" s="20"/>
      <c r="Y93" s="20"/>
      <c r="Z93" s="20"/>
    </row>
    <row r="94" spans="23:26">
      <c r="W94" s="20"/>
      <c r="X94" s="20"/>
      <c r="Y94" s="20"/>
      <c r="Z94" s="20"/>
    </row>
    <row r="95" spans="23:26">
      <c r="W95" s="20"/>
      <c r="X95" s="20"/>
      <c r="Y95" s="20"/>
      <c r="Z95" s="20"/>
    </row>
    <row r="96" spans="23:26">
      <c r="W96" s="20"/>
      <c r="X96" s="20"/>
      <c r="Y96" s="20"/>
      <c r="Z96" s="20"/>
    </row>
    <row r="97" spans="23:26">
      <c r="W97" s="20"/>
      <c r="X97" s="20"/>
      <c r="Y97" s="20"/>
      <c r="Z97" s="20"/>
    </row>
    <row r="98" spans="23:26">
      <c r="W98" s="20"/>
      <c r="X98" s="20"/>
      <c r="Y98" s="20"/>
      <c r="Z98" s="20"/>
    </row>
    <row r="99" spans="23:26">
      <c r="W99" s="20"/>
      <c r="X99" s="20"/>
      <c r="Y99" s="20"/>
      <c r="Z99" s="20"/>
    </row>
    <row r="100" spans="23:26">
      <c r="W100" s="20"/>
      <c r="X100" s="20"/>
      <c r="Y100" s="20"/>
      <c r="Z100" s="20"/>
    </row>
    <row r="101" spans="23:26">
      <c r="W101" s="20"/>
      <c r="X101" s="20"/>
      <c r="Y101" s="20"/>
      <c r="Z101" s="20"/>
    </row>
    <row r="102" spans="23:26">
      <c r="W102" s="20"/>
      <c r="X102" s="20"/>
      <c r="Y102" s="20"/>
      <c r="Z102" s="20"/>
    </row>
    <row r="103" spans="23:26">
      <c r="W103" s="20"/>
      <c r="X103" s="20"/>
      <c r="Y103" s="20"/>
      <c r="Z103" s="20"/>
    </row>
    <row r="104" spans="23:26">
      <c r="W104" s="20"/>
      <c r="X104" s="20"/>
      <c r="Y104" s="20"/>
      <c r="Z104" s="20"/>
    </row>
    <row r="105" spans="23:26">
      <c r="W105" s="20"/>
      <c r="X105" s="20"/>
      <c r="Y105" s="20"/>
      <c r="Z105" s="20"/>
    </row>
    <row r="106" spans="23:26">
      <c r="W106" s="20"/>
      <c r="X106" s="20"/>
      <c r="Y106" s="20"/>
      <c r="Z106" s="20"/>
    </row>
    <row r="107" spans="23:26">
      <c r="W107" s="20"/>
      <c r="X107" s="20"/>
      <c r="Y107" s="20"/>
      <c r="Z107" s="20"/>
    </row>
    <row r="108" spans="23:26">
      <c r="W108" s="20"/>
      <c r="X108" s="20"/>
      <c r="Y108" s="20"/>
      <c r="Z108" s="20"/>
    </row>
    <row r="109" spans="23:26">
      <c r="W109" s="20"/>
      <c r="X109" s="20"/>
      <c r="Y109" s="20"/>
      <c r="Z109" s="20"/>
    </row>
    <row r="110" spans="23:26">
      <c r="W110" s="20"/>
      <c r="X110" s="20"/>
      <c r="Y110" s="20"/>
      <c r="Z110" s="20"/>
    </row>
    <row r="111" spans="23:26">
      <c r="W111" s="20"/>
      <c r="X111" s="20"/>
      <c r="Y111" s="20"/>
      <c r="Z111" s="20"/>
    </row>
  </sheetData>
  <mergeCells count="1">
    <mergeCell ref="W1:Z1"/>
  </mergeCells>
  <phoneticPr fontId="1" type="noConversion"/>
  <dataValidations count="1">
    <dataValidation type="list" allowBlank="1" showInputMessage="1" showErrorMessage="1" sqref="U3" xr:uid="{7BCCF3B2-D5EA-40F0-88FA-3258D61F0698}">
      <formula1>"REGULAR,PROBI,RESIGNED"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1D038-2898-415E-854F-AC54A95F3E05}">
  <dimension ref="A1:G11"/>
  <sheetViews>
    <sheetView tabSelected="1" workbookViewId="0">
      <selection activeCell="J11" sqref="J11"/>
    </sheetView>
  </sheetViews>
  <sheetFormatPr defaultRowHeight="14.4"/>
  <cols>
    <col min="1" max="2" width="15.77734375" customWidth="1"/>
    <col min="4" max="4" width="15.77734375" customWidth="1"/>
    <col min="5" max="5" width="10.77734375" customWidth="1"/>
    <col min="6" max="6" width="25" bestFit="1" customWidth="1"/>
  </cols>
  <sheetData>
    <row r="1" spans="1:7">
      <c r="A1" t="s">
        <v>127</v>
      </c>
    </row>
    <row r="2" spans="1:7">
      <c r="A2" s="26" t="s">
        <v>98</v>
      </c>
      <c r="B2" s="26"/>
      <c r="C2" s="26"/>
      <c r="D2" s="26"/>
      <c r="E2" s="26"/>
    </row>
    <row r="3" spans="1:7">
      <c r="A3" s="26" t="s">
        <v>112</v>
      </c>
      <c r="B3" s="26"/>
      <c r="C3" s="26"/>
      <c r="D3" s="26" t="s">
        <v>125</v>
      </c>
      <c r="E3" s="23"/>
      <c r="F3" s="26" t="s">
        <v>126</v>
      </c>
      <c r="G3" s="26"/>
    </row>
    <row r="4" spans="1:7">
      <c r="A4" s="30">
        <v>0</v>
      </c>
      <c r="B4" s="30">
        <v>10000</v>
      </c>
      <c r="C4" s="31">
        <v>0.05</v>
      </c>
      <c r="D4" s="35" t="s">
        <v>113</v>
      </c>
      <c r="E4" s="39">
        <v>0.15</v>
      </c>
      <c r="F4" s="6" t="s">
        <v>121</v>
      </c>
      <c r="G4" s="40">
        <v>0.3</v>
      </c>
    </row>
    <row r="5" spans="1:7">
      <c r="A5" s="30">
        <v>10000</v>
      </c>
      <c r="B5" s="30">
        <v>30000</v>
      </c>
      <c r="C5" s="31">
        <v>0.1</v>
      </c>
      <c r="D5" s="35" t="s">
        <v>114</v>
      </c>
      <c r="E5" s="39">
        <v>0.2</v>
      </c>
      <c r="F5" s="6" t="s">
        <v>119</v>
      </c>
      <c r="G5" s="40">
        <v>0.3</v>
      </c>
    </row>
    <row r="6" spans="1:7">
      <c r="A6" s="30">
        <v>30000</v>
      </c>
      <c r="B6" s="30">
        <v>70000</v>
      </c>
      <c r="C6" s="31">
        <v>0.15</v>
      </c>
      <c r="D6" s="35" t="s">
        <v>115</v>
      </c>
      <c r="E6" s="39">
        <v>0.3</v>
      </c>
      <c r="F6" s="6" t="s">
        <v>118</v>
      </c>
      <c r="G6" s="40">
        <v>0.3</v>
      </c>
    </row>
    <row r="7" spans="1:7">
      <c r="A7" s="30">
        <v>70000</v>
      </c>
      <c r="B7" s="30">
        <v>140000</v>
      </c>
      <c r="C7" s="31">
        <v>0.2</v>
      </c>
      <c r="D7" s="35" t="s">
        <v>116</v>
      </c>
      <c r="E7" s="39">
        <v>0.3</v>
      </c>
      <c r="F7" s="6" t="s">
        <v>123</v>
      </c>
      <c r="G7" s="40">
        <v>0.3</v>
      </c>
    </row>
    <row r="8" spans="1:7">
      <c r="A8" s="30">
        <v>140000</v>
      </c>
      <c r="B8" s="30">
        <v>250000</v>
      </c>
      <c r="C8" s="31">
        <v>0.25</v>
      </c>
      <c r="D8" s="35"/>
      <c r="E8" s="39"/>
      <c r="F8" s="6" t="s">
        <v>122</v>
      </c>
      <c r="G8" s="40">
        <v>0.5</v>
      </c>
    </row>
    <row r="9" spans="1:7">
      <c r="A9" s="30">
        <v>250000</v>
      </c>
      <c r="B9" s="30">
        <v>500000</v>
      </c>
      <c r="C9" s="31">
        <v>0.3</v>
      </c>
      <c r="D9" s="35"/>
      <c r="E9" s="39"/>
      <c r="F9" s="6" t="s">
        <v>117</v>
      </c>
      <c r="G9" s="40">
        <v>1</v>
      </c>
    </row>
    <row r="10" spans="1:7">
      <c r="A10" s="30">
        <v>500000</v>
      </c>
      <c r="B10" s="30"/>
      <c r="C10" s="31">
        <v>0.32</v>
      </c>
      <c r="D10" s="35"/>
      <c r="E10" s="39"/>
      <c r="F10" s="6" t="s">
        <v>124</v>
      </c>
      <c r="G10" s="40">
        <v>1.3</v>
      </c>
    </row>
    <row r="11" spans="1:7">
      <c r="F11" s="6" t="s">
        <v>120</v>
      </c>
      <c r="G11" s="40">
        <v>1.6</v>
      </c>
    </row>
  </sheetData>
  <mergeCells count="4">
    <mergeCell ref="A3:C3"/>
    <mergeCell ref="D3:E3"/>
    <mergeCell ref="F3:G3"/>
    <mergeCell ref="A2:E2"/>
  </mergeCell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A1ACB-6531-4959-B321-D2FAC1DF703C}">
  <sheetPr codeName="Sheet2"/>
  <dimension ref="A2:N26"/>
  <sheetViews>
    <sheetView workbookViewId="0">
      <selection activeCell="E9" sqref="E9"/>
    </sheetView>
  </sheetViews>
  <sheetFormatPr defaultRowHeight="14.4"/>
  <cols>
    <col min="1" max="1" width="8.6640625" customWidth="1"/>
    <col min="2" max="2" width="20.6640625" customWidth="1"/>
    <col min="3" max="3" width="8.6640625" customWidth="1"/>
    <col min="4" max="5" width="12.6640625" customWidth="1"/>
    <col min="6" max="6" width="2.6640625" customWidth="1"/>
    <col min="7" max="8" width="12.6640625" customWidth="1"/>
    <col min="9" max="9" width="2.6640625" customWidth="1"/>
    <col min="10" max="10" width="17.44140625" bestFit="1" customWidth="1"/>
    <col min="11" max="11" width="15.6640625" customWidth="1"/>
    <col min="12" max="12" width="2.6640625" customWidth="1"/>
    <col min="13" max="13" width="12.33203125" bestFit="1" customWidth="1"/>
    <col min="14" max="14" width="12.6640625" customWidth="1"/>
  </cols>
  <sheetData>
    <row r="2" spans="1:14">
      <c r="B2" s="5" t="s">
        <v>57</v>
      </c>
      <c r="C2" s="26"/>
      <c r="D2" s="26"/>
      <c r="E2" s="26"/>
      <c r="G2" s="4" t="s">
        <v>90</v>
      </c>
      <c r="H2" s="6"/>
      <c r="I2" s="11"/>
      <c r="J2" s="4" t="s">
        <v>91</v>
      </c>
      <c r="K2" s="6"/>
    </row>
    <row r="3" spans="1:14">
      <c r="B3" s="5" t="s">
        <v>56</v>
      </c>
      <c r="C3" s="23" t="s">
        <v>103</v>
      </c>
      <c r="D3" s="24"/>
      <c r="E3" s="25"/>
      <c r="G3" s="4" t="s">
        <v>89</v>
      </c>
      <c r="H3" s="6"/>
      <c r="J3" s="4"/>
      <c r="K3" s="9"/>
    </row>
    <row r="4" spans="1:14">
      <c r="B4" s="5"/>
    </row>
    <row r="5" spans="1:14">
      <c r="B5" s="5"/>
      <c r="C5" s="2"/>
      <c r="D5" s="2"/>
      <c r="E5" s="2"/>
      <c r="J5" s="5"/>
    </row>
    <row r="6" spans="1:14">
      <c r="B6" s="5" t="s">
        <v>58</v>
      </c>
      <c r="C6" s="2" t="s">
        <v>69</v>
      </c>
      <c r="D6" s="2" t="s">
        <v>70</v>
      </c>
      <c r="E6" s="2" t="s">
        <v>71</v>
      </c>
      <c r="J6" s="8"/>
      <c r="K6" s="9"/>
      <c r="M6" s="3"/>
    </row>
    <row r="7" spans="1:14">
      <c r="B7" s="5" t="s">
        <v>59</v>
      </c>
      <c r="C7" s="16">
        <v>13</v>
      </c>
      <c r="D7" s="36">
        <f>IF(C7="","-",VLOOKUP($C$3,EMS!$F$3:$AA$5,20,FALSE))</f>
        <v>1250</v>
      </c>
      <c r="E7" s="37">
        <f>IF(C7="","-",IF(C7&lt;&gt;"",N12,""))</f>
        <v>12500</v>
      </c>
      <c r="G7" s="7" t="s">
        <v>94</v>
      </c>
      <c r="H7" s="32">
        <f>IF($C$3="","-",VLOOKUP(C3,EMS!F3:AA5,22,FALSE)/2)</f>
        <v>1500</v>
      </c>
      <c r="J7" s="5" t="s">
        <v>72</v>
      </c>
      <c r="K7" s="6"/>
      <c r="M7" s="7" t="s">
        <v>96</v>
      </c>
      <c r="N7" s="6"/>
    </row>
    <row r="8" spans="1:14">
      <c r="A8" s="1"/>
      <c r="B8" s="5" t="s">
        <v>60</v>
      </c>
      <c r="C8" s="17"/>
      <c r="D8" s="36" t="str">
        <f>IF(C8="","-",VLOOKUP($C$3,EMS!$F$3:$AA$5,20,FALSE))</f>
        <v>-</v>
      </c>
      <c r="E8" s="36"/>
      <c r="G8" s="7" t="s">
        <v>80</v>
      </c>
      <c r="H8" s="32">
        <f>IF($C$3="","-",H7*0.1)</f>
        <v>150</v>
      </c>
      <c r="J8" s="4" t="s">
        <v>73</v>
      </c>
      <c r="K8" s="6"/>
    </row>
    <row r="9" spans="1:14">
      <c r="A9" s="1"/>
      <c r="B9" s="5" t="s">
        <v>62</v>
      </c>
      <c r="C9" s="16"/>
      <c r="D9" s="36" t="str">
        <f>IF(C9="","-",VLOOKUP($C$3,EMS!$F$3:$AA$5,20,FALSE))</f>
        <v>-</v>
      </c>
      <c r="E9" s="36"/>
      <c r="G9" s="7" t="s">
        <v>79</v>
      </c>
      <c r="H9" s="33">
        <f>IF($C$3="","-",H7*0.2)</f>
        <v>300</v>
      </c>
      <c r="J9" s="4" t="s">
        <v>74</v>
      </c>
      <c r="K9" s="6"/>
      <c r="M9" s="4"/>
    </row>
    <row r="10" spans="1:14">
      <c r="A10" s="1"/>
      <c r="B10" s="5" t="s">
        <v>61</v>
      </c>
      <c r="C10" s="16"/>
      <c r="D10" s="36" t="str">
        <f>IF(C10="","-",VLOOKUP($C$3,EMS!$F$3:$AA$5,20,FALSE))</f>
        <v>-</v>
      </c>
      <c r="E10" s="36"/>
      <c r="G10" s="7" t="s">
        <v>78</v>
      </c>
      <c r="H10" s="33">
        <f>IF($C$3="","-",H7*0.2)</f>
        <v>300</v>
      </c>
      <c r="M10" s="4"/>
    </row>
    <row r="11" spans="1:14">
      <c r="A11" s="1"/>
      <c r="B11" s="5" t="s">
        <v>63</v>
      </c>
      <c r="C11" s="16">
        <v>1</v>
      </c>
      <c r="D11" s="36">
        <f>IF(C11="","-",VLOOKUP($C$3,EMS!$F$3:$AA$5,21,FALSE))</f>
        <v>156.25</v>
      </c>
      <c r="E11" s="36">
        <f>($D$11*GOV!G5)+$D$11*$C$11</f>
        <v>203.125</v>
      </c>
      <c r="G11" s="7" t="s">
        <v>77</v>
      </c>
      <c r="H11" s="33">
        <f>IF($C$3="","-",H7*0.5)</f>
        <v>750</v>
      </c>
      <c r="J11" s="4" t="s">
        <v>75</v>
      </c>
      <c r="K11" s="6"/>
      <c r="M11" s="7" t="s">
        <v>85</v>
      </c>
      <c r="N11" s="16"/>
    </row>
    <row r="12" spans="1:14">
      <c r="A12" s="1"/>
      <c r="B12" s="5" t="s">
        <v>76</v>
      </c>
      <c r="C12" s="16"/>
      <c r="D12" s="36" t="str">
        <f>IF(C12="","-",VLOOKUP($C$3,EMS!$F$3:$AA$5,20,FALSE))</f>
        <v>-</v>
      </c>
      <c r="E12" s="36"/>
      <c r="G12" s="7" t="s">
        <v>81</v>
      </c>
      <c r="H12" s="18" t="str">
        <f>IF($C$3="","-","")</f>
        <v/>
      </c>
      <c r="J12" s="4" t="s">
        <v>111</v>
      </c>
      <c r="K12" s="6"/>
      <c r="M12" s="4" t="s">
        <v>97</v>
      </c>
      <c r="N12" s="34">
        <f>IF($C$3="","",VLOOKUP(C3,EMS!F3:Z5,19,FALSE))</f>
        <v>12500</v>
      </c>
    </row>
    <row r="13" spans="1:14">
      <c r="A13" s="1"/>
      <c r="B13" s="5" t="s">
        <v>64</v>
      </c>
      <c r="C13" s="16"/>
      <c r="D13" s="36" t="str">
        <f>IF(C13="","-",VLOOKUP($C$3,EMS!$F$3:$AA$5,20,FALSE))</f>
        <v>-</v>
      </c>
      <c r="E13" s="36"/>
      <c r="G13" s="10"/>
      <c r="H13" s="9"/>
      <c r="J13" s="4" t="s">
        <v>87</v>
      </c>
      <c r="K13" s="6"/>
      <c r="M13" s="4" t="s">
        <v>84</v>
      </c>
      <c r="N13" s="16"/>
    </row>
    <row r="14" spans="1:14">
      <c r="A14" s="1"/>
      <c r="B14" s="5" t="s">
        <v>65</v>
      </c>
      <c r="C14" s="16"/>
      <c r="D14" s="36" t="str">
        <f>IF(C14="","-",VLOOKUP($C$3,EMS!$F$3:$AA$5,20,FALSE))</f>
        <v>-</v>
      </c>
      <c r="E14" s="36"/>
      <c r="G14" s="10"/>
      <c r="H14" s="9"/>
      <c r="J14" s="4" t="s">
        <v>86</v>
      </c>
      <c r="K14" s="6"/>
      <c r="M14" s="4"/>
    </row>
    <row r="15" spans="1:14">
      <c r="A15" s="1"/>
      <c r="B15" s="5" t="s">
        <v>68</v>
      </c>
      <c r="C15" s="16"/>
      <c r="D15" s="36" t="str">
        <f>IF(C15="","-",VLOOKUP($C$3,EMS!$F$3:$AA$5,20,FALSE))</f>
        <v>-</v>
      </c>
      <c r="E15" s="36"/>
      <c r="G15" s="10" t="s">
        <v>82</v>
      </c>
      <c r="H15" s="6"/>
      <c r="J15" s="4" t="s">
        <v>88</v>
      </c>
      <c r="K15" s="6"/>
      <c r="M15" s="4" t="s">
        <v>83</v>
      </c>
      <c r="N15" s="6"/>
    </row>
    <row r="16" spans="1:14">
      <c r="A16" s="1"/>
      <c r="D16" s="38"/>
      <c r="E16" s="38"/>
    </row>
    <row r="17" spans="1:12">
      <c r="A17" s="1"/>
    </row>
    <row r="18" spans="1:12">
      <c r="A18" s="1"/>
    </row>
    <row r="19" spans="1:12">
      <c r="A19" s="1"/>
    </row>
    <row r="26" spans="1:12">
      <c r="E26" s="3"/>
      <c r="F26" s="3"/>
      <c r="G26" s="3"/>
      <c r="H26" s="3"/>
      <c r="I26" s="3"/>
      <c r="J26" s="3"/>
      <c r="K26" s="3"/>
      <c r="L26" s="3"/>
    </row>
  </sheetData>
  <mergeCells count="2">
    <mergeCell ref="C3:E3"/>
    <mergeCell ref="C2:E2"/>
  </mergeCells>
  <pageMargins left="0.7" right="0.7" top="0.75" bottom="0.75" header="0.3" footer="0.3"/>
  <ignoredErrors>
    <ignoredError sqref="D11" formula="1"/>
  </ignoredError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E61108-FEDB-47FC-9F35-C079477D65FC}">
          <x14:formula1>
            <xm:f>EMS!$F$3:$F$19</xm:f>
          </x14:formula1>
          <xm:sqref>C3:E3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B33E6-F2B6-4E52-9EAD-4BE88B1CDAA9}">
  <sheetPr codeName="Sheet3"/>
  <dimension ref="A1:AX18"/>
  <sheetViews>
    <sheetView zoomScale="85" zoomScaleNormal="85" workbookViewId="0">
      <selection activeCell="AL3" sqref="AL3"/>
    </sheetView>
  </sheetViews>
  <sheetFormatPr defaultRowHeight="14.4"/>
  <cols>
    <col min="1" max="1" width="16.109375" bestFit="1" customWidth="1"/>
    <col min="2" max="2" width="17.109375" bestFit="1" customWidth="1"/>
    <col min="3" max="3" width="9.5546875" bestFit="1" customWidth="1"/>
    <col min="4" max="4" width="9.5546875" customWidth="1"/>
    <col min="5" max="7" width="15.6640625" style="15" customWidth="1"/>
    <col min="8" max="26" width="9.5546875" customWidth="1"/>
    <col min="27" max="27" width="12.6640625" bestFit="1" customWidth="1"/>
    <col min="28" max="31" width="12.6640625" customWidth="1"/>
    <col min="32" max="32" width="23.44140625" bestFit="1" customWidth="1"/>
    <col min="35" max="35" width="9.5546875" bestFit="1" customWidth="1"/>
    <col min="36" max="36" width="17.33203125" bestFit="1" customWidth="1"/>
    <col min="37" max="37" width="20.109375" bestFit="1" customWidth="1"/>
    <col min="38" max="38" width="20.109375" customWidth="1"/>
    <col min="39" max="39" width="11.33203125" bestFit="1" customWidth="1"/>
    <col min="40" max="40" width="19.44140625" bestFit="1" customWidth="1"/>
    <col min="41" max="41" width="17.33203125" bestFit="1" customWidth="1"/>
    <col min="42" max="42" width="16.33203125" bestFit="1" customWidth="1"/>
    <col min="43" max="43" width="23.44140625" bestFit="1" customWidth="1"/>
    <col min="44" max="44" width="21.33203125" bestFit="1" customWidth="1"/>
    <col min="45" max="45" width="22.33203125" bestFit="1" customWidth="1"/>
    <col min="47" max="47" width="17" bestFit="1" customWidth="1"/>
    <col min="48" max="48" width="16.33203125" bestFit="1" customWidth="1"/>
    <col min="50" max="50" width="16.5546875" bestFit="1" customWidth="1"/>
  </cols>
  <sheetData>
    <row r="1" spans="1:50">
      <c r="A1" s="2"/>
      <c r="B1" s="2"/>
      <c r="C1" s="2"/>
      <c r="D1" s="2"/>
      <c r="E1" s="28" t="s">
        <v>48</v>
      </c>
      <c r="F1" s="28"/>
      <c r="G1" s="28"/>
      <c r="H1" s="27" t="s">
        <v>49</v>
      </c>
      <c r="I1" s="27"/>
      <c r="J1" s="27"/>
      <c r="K1" s="27" t="s">
        <v>50</v>
      </c>
      <c r="L1" s="27"/>
      <c r="M1" s="27"/>
      <c r="N1" s="27" t="s">
        <v>51</v>
      </c>
      <c r="O1" s="27"/>
      <c r="P1" s="27"/>
      <c r="Q1" s="27" t="s">
        <v>53</v>
      </c>
      <c r="R1" s="27"/>
      <c r="S1" s="27"/>
      <c r="T1" s="27" t="s">
        <v>54</v>
      </c>
      <c r="U1" s="27"/>
      <c r="V1" s="27"/>
      <c r="W1" s="27" t="s">
        <v>66</v>
      </c>
      <c r="X1" s="27"/>
      <c r="Y1" s="27"/>
      <c r="Z1" s="27" t="s">
        <v>67</v>
      </c>
      <c r="AA1" s="27"/>
      <c r="AB1" s="27"/>
      <c r="AC1" s="27" t="s">
        <v>93</v>
      </c>
      <c r="AD1" s="27"/>
      <c r="AE1" s="27"/>
      <c r="AF1" s="27" t="s">
        <v>20</v>
      </c>
      <c r="AG1" s="27"/>
      <c r="AH1" s="27"/>
      <c r="AI1" s="27"/>
      <c r="AJ1" s="27"/>
      <c r="AK1" s="2"/>
      <c r="AL1" s="12" t="s">
        <v>95</v>
      </c>
      <c r="AM1" s="27" t="s">
        <v>13</v>
      </c>
      <c r="AN1" s="27"/>
      <c r="AO1" s="27"/>
      <c r="AP1" s="27" t="s">
        <v>14</v>
      </c>
      <c r="AQ1" s="27"/>
      <c r="AR1" s="27"/>
      <c r="AS1" s="27"/>
      <c r="AT1" s="2"/>
      <c r="AU1" s="27" t="s">
        <v>55</v>
      </c>
      <c r="AV1" s="27"/>
      <c r="AW1" s="27"/>
      <c r="AX1" s="27"/>
    </row>
    <row r="2" spans="1:50">
      <c r="A2" s="2" t="s">
        <v>44</v>
      </c>
      <c r="B2" s="2" t="s">
        <v>41</v>
      </c>
      <c r="C2" s="2" t="s">
        <v>42</v>
      </c>
      <c r="D2" s="2" t="s">
        <v>43</v>
      </c>
      <c r="E2" s="15" t="s">
        <v>45</v>
      </c>
      <c r="F2" s="15" t="s">
        <v>46</v>
      </c>
      <c r="G2" s="15" t="s">
        <v>47</v>
      </c>
      <c r="H2" s="2" t="s">
        <v>52</v>
      </c>
      <c r="I2" s="2" t="s">
        <v>46</v>
      </c>
      <c r="J2" s="2" t="s">
        <v>47</v>
      </c>
      <c r="K2" s="2" t="s">
        <v>52</v>
      </c>
      <c r="L2" s="2" t="s">
        <v>46</v>
      </c>
      <c r="M2" s="2" t="s">
        <v>47</v>
      </c>
      <c r="N2" s="2" t="s">
        <v>52</v>
      </c>
      <c r="O2" s="2" t="s">
        <v>46</v>
      </c>
      <c r="P2" s="2" t="s">
        <v>47</v>
      </c>
      <c r="Q2" s="2" t="s">
        <v>52</v>
      </c>
      <c r="R2" s="2" t="s">
        <v>46</v>
      </c>
      <c r="S2" s="2" t="s">
        <v>47</v>
      </c>
      <c r="T2" s="2" t="s">
        <v>52</v>
      </c>
      <c r="U2" s="2" t="s">
        <v>46</v>
      </c>
      <c r="V2" s="2" t="s">
        <v>47</v>
      </c>
      <c r="W2" s="2" t="s">
        <v>52</v>
      </c>
      <c r="X2" s="2" t="s">
        <v>46</v>
      </c>
      <c r="Y2" s="2" t="s">
        <v>47</v>
      </c>
      <c r="Z2" s="2" t="s">
        <v>52</v>
      </c>
      <c r="AA2" s="2" t="s">
        <v>46</v>
      </c>
      <c r="AB2" s="2" t="s">
        <v>47</v>
      </c>
      <c r="AC2" s="12" t="s">
        <v>52</v>
      </c>
      <c r="AD2" s="12" t="s">
        <v>46</v>
      </c>
      <c r="AE2" s="12" t="s">
        <v>47</v>
      </c>
      <c r="AF2" s="3" t="s">
        <v>23</v>
      </c>
      <c r="AG2" s="3" t="s">
        <v>24</v>
      </c>
      <c r="AH2" s="3" t="s">
        <v>25</v>
      </c>
      <c r="AI2" s="3" t="s">
        <v>26</v>
      </c>
      <c r="AJ2" s="3" t="s">
        <v>27</v>
      </c>
      <c r="AK2" s="2" t="s">
        <v>39</v>
      </c>
      <c r="AL2" s="12" t="s">
        <v>92</v>
      </c>
      <c r="AM2" s="2" t="s">
        <v>37</v>
      </c>
      <c r="AN2" s="2" t="s">
        <v>33</v>
      </c>
      <c r="AO2" s="2" t="s">
        <v>32</v>
      </c>
      <c r="AP2" s="2" t="s">
        <v>38</v>
      </c>
      <c r="AQ2" s="2" t="s">
        <v>34</v>
      </c>
      <c r="AR2" s="2" t="s">
        <v>35</v>
      </c>
      <c r="AS2" s="2" t="s">
        <v>36</v>
      </c>
      <c r="AT2" s="2" t="s">
        <v>40</v>
      </c>
      <c r="AU2" s="3" t="s">
        <v>28</v>
      </c>
      <c r="AV2" s="3" t="s">
        <v>29</v>
      </c>
      <c r="AW2" s="3" t="s">
        <v>30</v>
      </c>
      <c r="AX2" s="3" t="s">
        <v>31</v>
      </c>
    </row>
    <row r="7" spans="1:50">
      <c r="B7" s="1"/>
    </row>
    <row r="8" spans="1:50">
      <c r="B8" s="1"/>
    </row>
    <row r="9" spans="1:50">
      <c r="B9" s="1"/>
    </row>
    <row r="10" spans="1:50">
      <c r="B10" s="1"/>
    </row>
    <row r="11" spans="1:50">
      <c r="B11" s="1"/>
    </row>
    <row r="12" spans="1:50">
      <c r="B12" s="1"/>
    </row>
    <row r="13" spans="1:50">
      <c r="B13" s="1"/>
    </row>
    <row r="14" spans="1:50">
      <c r="B14" s="1"/>
      <c r="Q14" s="14"/>
      <c r="R14" s="14"/>
      <c r="S14" s="14"/>
      <c r="T14" s="14"/>
      <c r="U14" s="14"/>
      <c r="V14" s="14"/>
    </row>
    <row r="15" spans="1:50">
      <c r="B15" s="1"/>
    </row>
    <row r="16" spans="1:50">
      <c r="B16" s="1"/>
    </row>
    <row r="17" spans="2:2">
      <c r="B17" s="1"/>
    </row>
    <row r="18" spans="2:2">
      <c r="B18" s="1"/>
    </row>
  </sheetData>
  <mergeCells count="13">
    <mergeCell ref="E1:G1"/>
    <mergeCell ref="H1:J1"/>
    <mergeCell ref="K1:M1"/>
    <mergeCell ref="N1:P1"/>
    <mergeCell ref="W1:Y1"/>
    <mergeCell ref="AM1:AO1"/>
    <mergeCell ref="AP1:AS1"/>
    <mergeCell ref="AU1:AX1"/>
    <mergeCell ref="Q1:S1"/>
    <mergeCell ref="T1:V1"/>
    <mergeCell ref="AF1:AJ1"/>
    <mergeCell ref="Z1:AB1"/>
    <mergeCell ref="AC1:AE1"/>
  </mergeCells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EMS</vt:lpstr>
      <vt:lpstr>GOV</vt:lpstr>
      <vt:lpstr>PMS</vt:lpstr>
      <vt:lpstr>PMS_DB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Delos Santos, Jasond</dc:creator>
  <cp:lastModifiedBy>Delos Santos, Jasond</cp:lastModifiedBy>
  <dcterms:created xsi:type="dcterms:W3CDTF">2021-06-09T08:49:50Z</dcterms:created>
  <dcterms:modified xsi:type="dcterms:W3CDTF">2021-06-16T15:56:19Z</dcterms:modified>
</cp:coreProperties>
</file>