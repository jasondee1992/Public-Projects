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delosanto\Desktop\Testing Data\"/>
    </mc:Choice>
  </mc:AlternateContent>
  <xr:revisionPtr revIDLastSave="0" documentId="13_ncr:1_{9549EBBA-B246-4F71-86EF-39A32D102208}" xr6:coauthVersionLast="36" xr6:coauthVersionMax="36" xr10:uidLastSave="{00000000-0000-0000-0000-000000000000}"/>
  <bookViews>
    <workbookView xWindow="0" yWindow="0" windowWidth="23040" windowHeight="9900" xr2:uid="{54D30567-16C5-437E-B6B3-23D74E04465B}"/>
  </bookViews>
  <sheets>
    <sheet name="Sheet1" sheetId="1" r:id="rId1"/>
    <sheet name="Sheet2" sheetId="2" r:id="rId2"/>
    <sheet name="AutoFilter" sheetId="3" r:id="rId3"/>
    <sheet name="Formula_Property" sheetId="4" r:id="rId4"/>
    <sheet name="Count_value_base_desc." sheetId="5" r:id="rId5"/>
    <sheet name="Count_value_base_date" sheetId="6" r:id="rId6"/>
    <sheet name="Count_value_base_date_desc." sheetId="7" r:id="rId7"/>
    <sheet name="Test_Data" sheetId="9" r:id="rId8"/>
    <sheet name="Sheet3" sheetId="10" r:id="rId9"/>
  </sheets>
  <definedNames>
    <definedName name="_xlnm._FilterDatabase" localSheetId="2" hidden="1">AutoFilter!$A$12:$L$18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0" l="1"/>
  <c r="A3" i="10"/>
  <c r="A4" i="10"/>
  <c r="A5" i="10"/>
  <c r="A6" i="10"/>
  <c r="A7" i="10"/>
  <c r="A1" i="10"/>
  <c r="J7" i="1" l="1"/>
  <c r="J3" i="1"/>
  <c r="J4" i="1"/>
  <c r="J5" i="1"/>
  <c r="J6" i="1"/>
  <c r="J8" i="1"/>
  <c r="J9" i="1"/>
  <c r="J10" i="1"/>
  <c r="J11" i="1"/>
  <c r="J12" i="1"/>
  <c r="J13" i="1"/>
  <c r="J14" i="1"/>
  <c r="J15" i="1"/>
  <c r="J2" i="1"/>
  <c r="K3" i="1" l="1"/>
  <c r="K2" i="1"/>
  <c r="J16" i="1"/>
  <c r="J17" i="1"/>
  <c r="J18" i="1"/>
  <c r="J19" i="1"/>
  <c r="J20" i="1"/>
  <c r="J21" i="1"/>
  <c r="J22" i="1"/>
  <c r="J23" i="1"/>
  <c r="J24" i="1"/>
  <c r="J25" i="1"/>
  <c r="J26" i="1"/>
  <c r="J27" i="1"/>
  <c r="E10" i="7" l="1"/>
  <c r="B21" i="5" l="1"/>
  <c r="B22" i="5" l="1"/>
  <c r="B23" i="5"/>
  <c r="B24" i="5"/>
  <c r="B25" i="5"/>
  <c r="C1" i="4" l="1"/>
  <c r="K4" i="1" l="1"/>
  <c r="K7" i="1"/>
  <c r="K6" i="1"/>
  <c r="K5" i="1"/>
  <c r="K8" i="1"/>
  <c r="K13" i="1"/>
  <c r="K23" i="1"/>
  <c r="K21" i="1"/>
  <c r="K15" i="1"/>
  <c r="K25" i="1"/>
  <c r="K17" i="1"/>
  <c r="K9" i="1"/>
  <c r="K24" i="1"/>
  <c r="K16" i="1"/>
  <c r="K22" i="1"/>
  <c r="K14" i="1"/>
  <c r="K20" i="1"/>
  <c r="K12" i="1"/>
  <c r="K27" i="1"/>
  <c r="K19" i="1"/>
  <c r="K11" i="1"/>
  <c r="K26" i="1"/>
  <c r="K18" i="1"/>
  <c r="K10" i="1"/>
</calcChain>
</file>

<file path=xl/sharedStrings.xml><?xml version="1.0" encoding="utf-8"?>
<sst xmlns="http://schemas.openxmlformats.org/spreadsheetml/2006/main" count="253" uniqueCount="49">
  <si>
    <t>10-11-1</t>
  </si>
  <si>
    <t>10-11-2</t>
  </si>
  <si>
    <t>Insert Formula</t>
  </si>
  <si>
    <t>10-11-3</t>
  </si>
  <si>
    <t>10-11-4</t>
  </si>
  <si>
    <t>10-11-5</t>
  </si>
  <si>
    <t>10-11-6</t>
  </si>
  <si>
    <t>1</t>
  </si>
  <si>
    <t>2</t>
  </si>
  <si>
    <t>NO.</t>
  </si>
  <si>
    <t>No.</t>
  </si>
  <si>
    <t>EXPECTED RESULT</t>
  </si>
  <si>
    <t>3</t>
  </si>
  <si>
    <t>4</t>
  </si>
  <si>
    <t>5</t>
  </si>
  <si>
    <t>6</t>
  </si>
  <si>
    <t>7</t>
  </si>
  <si>
    <t>10-11-7</t>
  </si>
  <si>
    <t>Hide 1</t>
  </si>
  <si>
    <t>Hide 2</t>
  </si>
  <si>
    <t>Hide 3</t>
  </si>
  <si>
    <t>NAME</t>
  </si>
  <si>
    <t>SURNAME</t>
  </si>
  <si>
    <t>A</t>
  </si>
  <si>
    <t>B</t>
  </si>
  <si>
    <t>C</t>
  </si>
  <si>
    <t>D</t>
  </si>
  <si>
    <t>E</t>
  </si>
  <si>
    <t>F</t>
  </si>
  <si>
    <t>CC</t>
  </si>
  <si>
    <t>VV</t>
  </si>
  <si>
    <t>BB</t>
  </si>
  <si>
    <t>Name</t>
  </si>
  <si>
    <t>Not whole screen captured</t>
  </si>
  <si>
    <t>No screen error checking</t>
  </si>
  <si>
    <t>Incorrect OS</t>
  </si>
  <si>
    <t>Incorrect browser</t>
  </si>
  <si>
    <t>Incorrect result</t>
  </si>
  <si>
    <t>Test 1</t>
  </si>
  <si>
    <t>Test 2</t>
  </si>
  <si>
    <t>Test 3</t>
  </si>
  <si>
    <t>Test 4</t>
  </si>
  <si>
    <t>Descriptions</t>
  </si>
  <si>
    <t>FORMULA</t>
  </si>
  <si>
    <t>DATE</t>
  </si>
  <si>
    <t>TEST 1</t>
  </si>
  <si>
    <t>TEST 2</t>
  </si>
  <si>
    <t>TEST 3</t>
  </si>
  <si>
    <t>Error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</si>
</sst>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Calibri"/>
      <family val="2"/>
      <charset val="128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49" fontId="0" fillId="0" borderId="0" xfId="0" applyNumberFormat="1" applyAlignment="1">
      <alignment horizontal="center"/>
    </xf>
    <xf numFmtId="49" fontId="0" fillId="0" borderId="0" xfId="0" applyNumberFormat="1" applyAlignmen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 applyProtection="1">
      <alignment horizontal="left" vertical="top"/>
      <protection locked="0"/>
    </xf>
    <xf numFmtId="0" fontId="0" fillId="0" borderId="1" xfId="0" applyFont="1" applyBorder="1"/>
    <xf numFmtId="14" fontId="0" fillId="0" borderId="1" xfId="0" applyNumberFormat="1" applyBorder="1"/>
    <xf numFmtId="0" fontId="0" fillId="0" borderId="1" xfId="0" applyNumberFormat="1" applyBorder="1"/>
    <xf numFmtId="0" fontId="1" fillId="0" borderId="1" xfId="0" applyFont="1" applyBorder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 applyProtection="1">
      <alignment horizontal="left" vertical="top"/>
      <protection locked="0"/>
    </xf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211"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  <dxf>
      <font>
        <color theme="0" tint="-0.34998626667073579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6ECC1-DAE5-48D2-A620-D81EC78F96FA}">
  <sheetPr codeName="Sheet1"/>
  <dimension ref="A1:K27"/>
  <sheetViews>
    <sheetView tabSelected="1" workbookViewId="0"/>
  </sheetViews>
  <sheetFormatPr defaultRowHeight="14.4"/>
  <cols>
    <col min="1" max="1" width="6.6640625" style="3" customWidth="1"/>
    <col min="2" max="2" width="15.88671875" style="1" customWidth="1"/>
    <col min="3" max="4" width="13.6640625" customWidth="1"/>
    <col min="5" max="5" width="5" customWidth="1"/>
    <col min="7" max="7" width="7.33203125" customWidth="1"/>
    <col min="8" max="8" width="7" style="3" customWidth="1"/>
    <col min="9" max="9" width="18.21875" customWidth="1"/>
    <col min="10" max="10" width="13.33203125" customWidth="1"/>
    <col min="11" max="11" width="9.21875" customWidth="1"/>
  </cols>
  <sheetData>
    <row r="1" spans="1:11">
      <c r="A1" s="2" t="s">
        <v>10</v>
      </c>
      <c r="B1" s="18" t="s">
        <v>11</v>
      </c>
      <c r="C1" s="18"/>
      <c r="D1" s="18"/>
      <c r="E1" s="18"/>
      <c r="H1" s="3" t="s">
        <v>9</v>
      </c>
      <c r="I1" s="1"/>
      <c r="J1" t="s">
        <v>2</v>
      </c>
      <c r="K1" t="s">
        <v>2</v>
      </c>
    </row>
    <row r="2" spans="1:11">
      <c r="A2" s="3">
        <v>1</v>
      </c>
      <c r="B2" s="1" t="s">
        <v>0</v>
      </c>
      <c r="C2" s="1" t="s">
        <v>0</v>
      </c>
      <c r="D2" s="1" t="s">
        <v>7</v>
      </c>
      <c r="H2" s="3">
        <v>1</v>
      </c>
      <c r="I2" s="1" t="s">
        <v>0</v>
      </c>
      <c r="J2" t="str">
        <f>LOOKUP(2,1/(Sheet2!$B$2:'Sheet2'!B2&lt;&gt;""),Sheet2!$B$2:'Sheet2'!B2)</f>
        <v>10-11-1</v>
      </c>
      <c r="K2">
        <f>COUNTIF(J$2:J2,J2)</f>
        <v>1</v>
      </c>
    </row>
    <row r="3" spans="1:11">
      <c r="A3" s="3">
        <v>2</v>
      </c>
      <c r="C3" s="1" t="s">
        <v>0</v>
      </c>
      <c r="D3" s="1" t="s">
        <v>8</v>
      </c>
      <c r="H3" s="3">
        <v>2</v>
      </c>
      <c r="I3" s="1"/>
      <c r="J3" t="str">
        <f>LOOKUP(2,1/(Sheet2!$B$2:'Sheet2'!B3&lt;&gt;""),Sheet2!$B$2:'Sheet2'!B3)</f>
        <v>10-11-1</v>
      </c>
      <c r="K3">
        <f>COUNTIF(J$2:J3,J3)</f>
        <v>2</v>
      </c>
    </row>
    <row r="4" spans="1:11">
      <c r="A4" s="3">
        <v>3</v>
      </c>
      <c r="C4" s="1" t="s">
        <v>0</v>
      </c>
      <c r="D4" s="1" t="s">
        <v>12</v>
      </c>
      <c r="H4" s="3">
        <v>3</v>
      </c>
      <c r="I4" s="1"/>
      <c r="J4" t="str">
        <f>LOOKUP(2,1/(Sheet2!$B$2:'Sheet2'!B4&lt;&gt;""),Sheet2!$B$2:'Sheet2'!B4)</f>
        <v>10-11-1</v>
      </c>
      <c r="K4">
        <f>COUNTIF(J$2:J4,J4)</f>
        <v>3</v>
      </c>
    </row>
    <row r="5" spans="1:11">
      <c r="A5" s="3">
        <v>4</v>
      </c>
      <c r="C5" s="1" t="s">
        <v>0</v>
      </c>
      <c r="D5" s="1" t="s">
        <v>13</v>
      </c>
      <c r="H5" s="3">
        <v>4</v>
      </c>
      <c r="I5" s="1"/>
      <c r="J5" t="str">
        <f>LOOKUP(2,1/(Sheet2!$B$2:'Sheet2'!B5&lt;&gt;""),Sheet2!$B$2:'Sheet2'!B5)</f>
        <v>10-11-1</v>
      </c>
      <c r="K5">
        <f>COUNTIF(J$2:J5,J5)</f>
        <v>4</v>
      </c>
    </row>
    <row r="6" spans="1:11">
      <c r="A6" s="3">
        <v>5</v>
      </c>
      <c r="C6" s="1" t="s">
        <v>0</v>
      </c>
      <c r="D6" s="1" t="s">
        <v>14</v>
      </c>
      <c r="H6" s="3">
        <v>5</v>
      </c>
      <c r="I6" s="1"/>
      <c r="J6" t="str">
        <f>LOOKUP(2,1/(Sheet2!$B$2:'Sheet2'!B6&lt;&gt;""),Sheet2!$B$2:'Sheet2'!B6)</f>
        <v>10-11-1</v>
      </c>
      <c r="K6">
        <f>COUNTIF(J$2:J6,J6)</f>
        <v>5</v>
      </c>
    </row>
    <row r="7" spans="1:11">
      <c r="A7" s="3">
        <v>6</v>
      </c>
      <c r="B7" s="1" t="s">
        <v>1</v>
      </c>
      <c r="C7" s="1" t="s">
        <v>1</v>
      </c>
      <c r="D7" s="1" t="s">
        <v>7</v>
      </c>
      <c r="H7" s="3">
        <v>6</v>
      </c>
      <c r="I7" s="1" t="s">
        <v>1</v>
      </c>
      <c r="J7" t="str">
        <f>LOOKUP(2,1/(Sheet2!$B$2:'Sheet2'!B7&lt;&gt;""),Sheet2!$B$2:'Sheet2'!B7)</f>
        <v>10-11-2</v>
      </c>
      <c r="K7">
        <f>COUNTIF(J$2:J7,J7)</f>
        <v>1</v>
      </c>
    </row>
    <row r="8" spans="1:11">
      <c r="A8" s="3">
        <v>7</v>
      </c>
      <c r="B8" s="1" t="s">
        <v>3</v>
      </c>
      <c r="C8" s="1" t="s">
        <v>3</v>
      </c>
      <c r="D8" s="1" t="s">
        <v>7</v>
      </c>
      <c r="H8" s="3">
        <v>7</v>
      </c>
      <c r="I8" s="1" t="s">
        <v>3</v>
      </c>
      <c r="J8" t="str">
        <f>LOOKUP(2,1/(Sheet2!$B$2:'Sheet2'!B8&lt;&gt;""),Sheet2!$B$2:'Sheet2'!B8)</f>
        <v>10-11-3</v>
      </c>
      <c r="K8">
        <f>COUNTIF(J$2:J8,J8)</f>
        <v>1</v>
      </c>
    </row>
    <row r="9" spans="1:11">
      <c r="A9" s="3">
        <v>8</v>
      </c>
      <c r="C9" s="1" t="s">
        <v>3</v>
      </c>
      <c r="D9" s="1" t="s">
        <v>8</v>
      </c>
      <c r="H9" s="3">
        <v>8</v>
      </c>
      <c r="I9" s="1"/>
      <c r="J9" t="str">
        <f>LOOKUP(2,1/(Sheet2!$B$2:'Sheet2'!B9&lt;&gt;""),Sheet2!$B$2:'Sheet2'!B9)</f>
        <v>10-11-3</v>
      </c>
      <c r="K9">
        <f>COUNTIF(J$2:J9,J9)</f>
        <v>2</v>
      </c>
    </row>
    <row r="10" spans="1:11">
      <c r="A10" s="3">
        <v>9</v>
      </c>
      <c r="C10" s="1" t="s">
        <v>3</v>
      </c>
      <c r="D10" s="1" t="s">
        <v>12</v>
      </c>
      <c r="H10" s="3">
        <v>9</v>
      </c>
      <c r="I10" s="1"/>
      <c r="J10" t="str">
        <f>LOOKUP(2,1/(Sheet2!$B$2:'Sheet2'!B10&lt;&gt;""),Sheet2!$B$2:'Sheet2'!B10)</f>
        <v>10-11-3</v>
      </c>
      <c r="K10">
        <f>COUNTIF(J$2:J10,J10)</f>
        <v>3</v>
      </c>
    </row>
    <row r="11" spans="1:11">
      <c r="A11" s="3">
        <v>10</v>
      </c>
      <c r="C11" s="1" t="s">
        <v>3</v>
      </c>
      <c r="D11" s="1" t="s">
        <v>13</v>
      </c>
      <c r="H11" s="3">
        <v>10</v>
      </c>
      <c r="I11" s="1"/>
      <c r="J11" t="str">
        <f>LOOKUP(2,1/(Sheet2!$B$2:'Sheet2'!B11&lt;&gt;""),Sheet2!$B$2:'Sheet2'!B11)</f>
        <v>10-11-3</v>
      </c>
      <c r="K11">
        <f>COUNTIF(J$2:J11,J11)</f>
        <v>4</v>
      </c>
    </row>
    <row r="12" spans="1:11">
      <c r="A12" s="3">
        <v>11</v>
      </c>
      <c r="C12" s="1" t="s">
        <v>3</v>
      </c>
      <c r="D12" s="1" t="s">
        <v>14</v>
      </c>
      <c r="H12" s="3">
        <v>11</v>
      </c>
      <c r="I12" s="1"/>
      <c r="J12" t="str">
        <f>LOOKUP(2,1/(Sheet2!$B$2:'Sheet2'!B12&lt;&gt;""),Sheet2!$B$2:'Sheet2'!B12)</f>
        <v>10-11-3</v>
      </c>
      <c r="K12">
        <f>COUNTIF(J$2:J12,J12)</f>
        <v>5</v>
      </c>
    </row>
    <row r="13" spans="1:11">
      <c r="A13" s="3">
        <v>12</v>
      </c>
      <c r="C13" s="1" t="s">
        <v>3</v>
      </c>
      <c r="D13" s="1" t="s">
        <v>15</v>
      </c>
      <c r="H13" s="3">
        <v>12</v>
      </c>
      <c r="I13" s="1"/>
      <c r="J13" t="str">
        <f>LOOKUP(2,1/(Sheet2!$B$2:'Sheet2'!B13&lt;&gt;""),Sheet2!$B$2:'Sheet2'!B13)</f>
        <v>10-11-3</v>
      </c>
      <c r="K13">
        <f>COUNTIF(J$2:J13,J13)</f>
        <v>6</v>
      </c>
    </row>
    <row r="14" spans="1:11">
      <c r="A14" s="3">
        <v>13</v>
      </c>
      <c r="C14" s="1" t="s">
        <v>3</v>
      </c>
      <c r="D14" s="1" t="s">
        <v>16</v>
      </c>
      <c r="H14" s="3">
        <v>13</v>
      </c>
      <c r="I14" s="1"/>
      <c r="J14" t="str">
        <f>LOOKUP(2,1/(Sheet2!$B$2:'Sheet2'!B14&lt;&gt;""),Sheet2!$B$2:'Sheet2'!B14)</f>
        <v>10-11-3</v>
      </c>
      <c r="K14">
        <f>COUNTIF(J$2:J14,J14)</f>
        <v>7</v>
      </c>
    </row>
    <row r="15" spans="1:11">
      <c r="A15" s="3">
        <v>14</v>
      </c>
      <c r="B15" s="1" t="s">
        <v>4</v>
      </c>
      <c r="C15" s="1" t="s">
        <v>4</v>
      </c>
      <c r="D15" s="1" t="s">
        <v>7</v>
      </c>
      <c r="H15" s="3">
        <v>14</v>
      </c>
      <c r="I15" s="1" t="s">
        <v>4</v>
      </c>
      <c r="J15" t="str">
        <f>LOOKUP(2,1/(Sheet2!$B$2:'Sheet2'!B15&lt;&gt;""),Sheet2!$B$2:'Sheet2'!B15)</f>
        <v>10-11-4</v>
      </c>
      <c r="K15">
        <f>COUNTIF(J$2:J15,J15)</f>
        <v>1</v>
      </c>
    </row>
    <row r="16" spans="1:11">
      <c r="A16" s="3">
        <v>15</v>
      </c>
      <c r="B16" s="1" t="s">
        <v>5</v>
      </c>
      <c r="C16" s="1" t="s">
        <v>5</v>
      </c>
      <c r="D16" s="1" t="s">
        <v>7</v>
      </c>
      <c r="H16" s="3">
        <v>15</v>
      </c>
      <c r="I16" s="1" t="s">
        <v>5</v>
      </c>
      <c r="J16" t="str">
        <f>LOOKUP(2,1/(I$2:I16&lt;&gt;""),I$2:I16)</f>
        <v>10-11-5</v>
      </c>
      <c r="K16">
        <f>COUNTIF(J$2:J16,J16)</f>
        <v>1</v>
      </c>
    </row>
    <row r="17" spans="1:11">
      <c r="A17" s="3">
        <v>16</v>
      </c>
      <c r="B17" s="1" t="s">
        <v>6</v>
      </c>
      <c r="C17" s="1" t="s">
        <v>6</v>
      </c>
      <c r="D17" s="1" t="s">
        <v>7</v>
      </c>
      <c r="H17" s="3">
        <v>16</v>
      </c>
      <c r="I17" s="1" t="s">
        <v>6</v>
      </c>
      <c r="J17" t="str">
        <f>LOOKUP(2,1/(I$2:I17&lt;&gt;""),I$2:I17)</f>
        <v>10-11-6</v>
      </c>
      <c r="K17">
        <f>COUNTIF(J$2:J17,J17)</f>
        <v>1</v>
      </c>
    </row>
    <row r="18" spans="1:11">
      <c r="A18" s="3">
        <v>17</v>
      </c>
      <c r="C18" s="1" t="s">
        <v>6</v>
      </c>
      <c r="D18" s="1" t="s">
        <v>8</v>
      </c>
      <c r="H18" s="3">
        <v>17</v>
      </c>
      <c r="I18" s="1"/>
      <c r="J18" t="str">
        <f>LOOKUP(2,1/(I$2:I18&lt;&gt;""),I$2:I18)</f>
        <v>10-11-6</v>
      </c>
      <c r="K18">
        <f>COUNTIF(J$2:J18,J18)</f>
        <v>2</v>
      </c>
    </row>
    <row r="19" spans="1:11">
      <c r="A19" s="3">
        <v>18</v>
      </c>
      <c r="C19" s="1" t="s">
        <v>6</v>
      </c>
      <c r="D19" s="1" t="s">
        <v>12</v>
      </c>
      <c r="H19" s="3">
        <v>18</v>
      </c>
      <c r="I19" s="1"/>
      <c r="J19" t="str">
        <f>LOOKUP(2,1/(I$2:I19&lt;&gt;""),I$2:I19)</f>
        <v>10-11-6</v>
      </c>
      <c r="K19">
        <f>COUNTIF(J$2:J19,J19)</f>
        <v>3</v>
      </c>
    </row>
    <row r="20" spans="1:11">
      <c r="A20" s="3">
        <v>19</v>
      </c>
      <c r="C20" s="1" t="s">
        <v>6</v>
      </c>
      <c r="D20" s="1" t="s">
        <v>13</v>
      </c>
      <c r="H20" s="3">
        <v>19</v>
      </c>
      <c r="I20" s="1"/>
      <c r="J20" t="str">
        <f>LOOKUP(2,1/(I$2:I20&lt;&gt;""),I$2:I20)</f>
        <v>10-11-6</v>
      </c>
      <c r="K20">
        <f>COUNTIF(J$2:J20,J20)</f>
        <v>4</v>
      </c>
    </row>
    <row r="21" spans="1:11">
      <c r="A21" s="3">
        <v>20</v>
      </c>
      <c r="C21" s="1" t="s">
        <v>6</v>
      </c>
      <c r="D21" s="1" t="s">
        <v>14</v>
      </c>
      <c r="H21" s="3">
        <v>20</v>
      </c>
      <c r="I21" s="1" t="s">
        <v>17</v>
      </c>
      <c r="J21" t="str">
        <f>LOOKUP(2,1/(I$2:I21&lt;&gt;""),I$2:I21)</f>
        <v>10-11-7</v>
      </c>
      <c r="K21">
        <f>COUNTIF(J$2:J21,J21)</f>
        <v>1</v>
      </c>
    </row>
    <row r="22" spans="1:11">
      <c r="H22" s="3">
        <v>21</v>
      </c>
      <c r="J22" t="str">
        <f>LOOKUP(2,1/(I$2:I22&lt;&gt;""),I$2:I22)</f>
        <v>10-11-7</v>
      </c>
      <c r="K22">
        <f>COUNTIF(J$2:J22,J22)</f>
        <v>2</v>
      </c>
    </row>
    <row r="23" spans="1:11">
      <c r="H23" s="3">
        <v>22</v>
      </c>
      <c r="J23" t="str">
        <f>LOOKUP(2,1/(I$2:I23&lt;&gt;""),I$2:I23)</f>
        <v>10-11-7</v>
      </c>
      <c r="K23">
        <f>COUNTIF(J$2:J23,J23)</f>
        <v>3</v>
      </c>
    </row>
    <row r="24" spans="1:11">
      <c r="H24" s="3">
        <v>23</v>
      </c>
      <c r="J24" t="str">
        <f>LOOKUP(2,1/(I$2:I24&lt;&gt;""),I$2:I24)</f>
        <v>10-11-7</v>
      </c>
      <c r="K24">
        <f>COUNTIF(J$2:J24,J24)</f>
        <v>4</v>
      </c>
    </row>
    <row r="25" spans="1:11">
      <c r="H25" s="3">
        <v>24</v>
      </c>
      <c r="J25" t="str">
        <f>LOOKUP(2,1/(I$2:I25&lt;&gt;""),I$2:I25)</f>
        <v>10-11-7</v>
      </c>
      <c r="K25">
        <f>COUNTIF(J$2:J25,J25)</f>
        <v>5</v>
      </c>
    </row>
    <row r="26" spans="1:11">
      <c r="H26" s="3">
        <v>25</v>
      </c>
      <c r="J26" t="str">
        <f>LOOKUP(2,1/(I$2:I26&lt;&gt;""),I$2:I26)</f>
        <v>10-11-7</v>
      </c>
      <c r="K26">
        <f>COUNTIF(J$2:J26,J26)</f>
        <v>6</v>
      </c>
    </row>
    <row r="27" spans="1:11">
      <c r="H27" s="3">
        <v>26</v>
      </c>
      <c r="J27" t="str">
        <f>LOOKUP(2,1/(I$2:I27&lt;&gt;""),I$2:I27)</f>
        <v>10-11-7</v>
      </c>
      <c r="K27">
        <f>COUNTIF(J$2:J27,J27)</f>
        <v>7</v>
      </c>
    </row>
  </sheetData>
  <mergeCells count="1">
    <mergeCell ref="B1:E1"/>
  </mergeCells>
  <pageMargins left="0.7" right="0.7" top="0.75" bottom="0.75" header="0.3" footer="0.3"/>
  <pageSetup orientation="portrait" horizontalDpi="90" verticalDpi="9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CD8F7-18B8-4135-8228-5E15E579195B}">
  <sheetPr codeName="Sheet2"/>
  <dimension ref="A1:N27"/>
  <sheetViews>
    <sheetView workbookViewId="0">
      <selection activeCell="B2" sqref="B2"/>
    </sheetView>
  </sheetViews>
  <sheetFormatPr defaultRowHeight="14.4"/>
  <cols>
    <col min="2" max="2" width="16.77734375" customWidth="1"/>
  </cols>
  <sheetData>
    <row r="1" spans="1:14">
      <c r="A1" s="3" t="s">
        <v>9</v>
      </c>
      <c r="B1" s="4"/>
      <c r="E1" t="s">
        <v>18</v>
      </c>
      <c r="F1" t="s">
        <v>18</v>
      </c>
      <c r="G1" t="s">
        <v>18</v>
      </c>
      <c r="I1" t="s">
        <v>19</v>
      </c>
      <c r="J1" t="s">
        <v>19</v>
      </c>
      <c r="K1" t="s">
        <v>19</v>
      </c>
      <c r="L1" t="s">
        <v>20</v>
      </c>
      <c r="M1" t="s">
        <v>20</v>
      </c>
      <c r="N1" t="s">
        <v>20</v>
      </c>
    </row>
    <row r="2" spans="1:14">
      <c r="A2" s="3">
        <v>1</v>
      </c>
      <c r="B2" s="4" t="s">
        <v>0</v>
      </c>
    </row>
    <row r="3" spans="1:14">
      <c r="A3" s="3">
        <v>2</v>
      </c>
      <c r="B3" s="4"/>
    </row>
    <row r="4" spans="1:14">
      <c r="A4" s="3">
        <v>3</v>
      </c>
      <c r="B4" s="4"/>
    </row>
    <row r="5" spans="1:14">
      <c r="A5" s="3">
        <v>4</v>
      </c>
      <c r="B5" s="4"/>
    </row>
    <row r="6" spans="1:14">
      <c r="A6" s="3">
        <v>5</v>
      </c>
      <c r="B6" s="4"/>
    </row>
    <row r="7" spans="1:14">
      <c r="A7" s="3">
        <v>6</v>
      </c>
      <c r="B7" s="4" t="s">
        <v>1</v>
      </c>
    </row>
    <row r="8" spans="1:14">
      <c r="A8" s="3">
        <v>7</v>
      </c>
      <c r="B8" s="4" t="s">
        <v>3</v>
      </c>
    </row>
    <row r="9" spans="1:14">
      <c r="A9" s="3">
        <v>8</v>
      </c>
      <c r="B9" s="4"/>
    </row>
    <row r="10" spans="1:14">
      <c r="A10" s="3">
        <v>9</v>
      </c>
      <c r="B10" s="4"/>
    </row>
    <row r="11" spans="1:14">
      <c r="A11" s="3">
        <v>10</v>
      </c>
      <c r="B11" s="4"/>
    </row>
    <row r="12" spans="1:14">
      <c r="A12" s="3">
        <v>11</v>
      </c>
      <c r="B12" s="4"/>
    </row>
    <row r="13" spans="1:14">
      <c r="A13" s="3">
        <v>12</v>
      </c>
      <c r="B13" s="4"/>
    </row>
    <row r="14" spans="1:14">
      <c r="A14" s="3">
        <v>13</v>
      </c>
      <c r="B14" s="4"/>
    </row>
    <row r="15" spans="1:14">
      <c r="A15" s="3">
        <v>14</v>
      </c>
      <c r="B15" s="4" t="s">
        <v>4</v>
      </c>
    </row>
    <row r="16" spans="1:14">
      <c r="A16" s="3">
        <v>15</v>
      </c>
      <c r="B16" s="4" t="s">
        <v>5</v>
      </c>
    </row>
    <row r="17" spans="1:2">
      <c r="A17" s="3">
        <v>16</v>
      </c>
      <c r="B17" s="4" t="s">
        <v>6</v>
      </c>
    </row>
    <row r="18" spans="1:2">
      <c r="A18" s="3">
        <v>17</v>
      </c>
      <c r="B18" s="4"/>
    </row>
    <row r="19" spans="1:2">
      <c r="A19" s="3">
        <v>18</v>
      </c>
      <c r="B19" s="4"/>
    </row>
    <row r="20" spans="1:2">
      <c r="A20" s="3">
        <v>19</v>
      </c>
      <c r="B20" s="4"/>
    </row>
    <row r="21" spans="1:2">
      <c r="A21" s="3">
        <v>20</v>
      </c>
      <c r="B21" s="4" t="s">
        <v>17</v>
      </c>
    </row>
    <row r="22" spans="1:2">
      <c r="A22" s="3">
        <v>21</v>
      </c>
    </row>
    <row r="23" spans="1:2">
      <c r="A23" s="3">
        <v>22</v>
      </c>
    </row>
    <row r="24" spans="1:2">
      <c r="A24" s="3">
        <v>23</v>
      </c>
    </row>
    <row r="25" spans="1:2">
      <c r="A25" s="3">
        <v>24</v>
      </c>
    </row>
    <row r="26" spans="1:2">
      <c r="A26" s="3">
        <v>25</v>
      </c>
    </row>
    <row r="27" spans="1:2">
      <c r="A27" s="3">
        <v>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12DBC-CAF0-4DAA-A1BF-5510DBC242F4}">
  <sheetPr codeName="Sheet3" filterMode="1"/>
  <dimension ref="A12:L18"/>
  <sheetViews>
    <sheetView workbookViewId="0">
      <selection activeCell="Q4" sqref="Q4"/>
    </sheetView>
  </sheetViews>
  <sheetFormatPr defaultRowHeight="14.4"/>
  <cols>
    <col min="1" max="1" width="8.88671875" style="5"/>
    <col min="2" max="2" width="13.77734375" customWidth="1"/>
    <col min="3" max="3" width="12.88671875" customWidth="1"/>
  </cols>
  <sheetData>
    <row r="12" spans="1:12">
      <c r="A12" s="5" t="s">
        <v>9</v>
      </c>
      <c r="B12" t="s">
        <v>21</v>
      </c>
      <c r="C12" t="s">
        <v>22</v>
      </c>
      <c r="D12" s="5" t="s">
        <v>9</v>
      </c>
      <c r="E12" t="s">
        <v>21</v>
      </c>
      <c r="F12" t="s">
        <v>22</v>
      </c>
      <c r="G12" s="5" t="s">
        <v>9</v>
      </c>
      <c r="H12" t="s">
        <v>21</v>
      </c>
      <c r="I12" t="s">
        <v>22</v>
      </c>
      <c r="J12" s="5" t="s">
        <v>9</v>
      </c>
      <c r="K12" t="s">
        <v>21</v>
      </c>
      <c r="L12" t="s">
        <v>22</v>
      </c>
    </row>
    <row r="13" spans="1:12" hidden="1">
      <c r="A13" s="5">
        <v>1</v>
      </c>
      <c r="B13" t="s">
        <v>23</v>
      </c>
      <c r="C13" t="s">
        <v>29</v>
      </c>
      <c r="D13" s="5">
        <v>1</v>
      </c>
      <c r="E13" t="s">
        <v>23</v>
      </c>
      <c r="F13" t="s">
        <v>29</v>
      </c>
      <c r="G13" s="5">
        <v>1</v>
      </c>
      <c r="H13" t="s">
        <v>23</v>
      </c>
      <c r="I13" t="s">
        <v>29</v>
      </c>
      <c r="J13" t="s">
        <v>29</v>
      </c>
      <c r="K13" t="s">
        <v>23</v>
      </c>
      <c r="L13" t="s">
        <v>29</v>
      </c>
    </row>
    <row r="14" spans="1:12" hidden="1">
      <c r="A14" s="5">
        <v>2</v>
      </c>
      <c r="B14" t="s">
        <v>24</v>
      </c>
      <c r="C14" t="s">
        <v>29</v>
      </c>
      <c r="D14" s="5">
        <v>2</v>
      </c>
      <c r="E14" t="s">
        <v>24</v>
      </c>
      <c r="F14" t="s">
        <v>29</v>
      </c>
      <c r="G14" s="5">
        <v>2</v>
      </c>
      <c r="H14" t="s">
        <v>24</v>
      </c>
      <c r="I14" t="s">
        <v>29</v>
      </c>
      <c r="J14" t="s">
        <v>29</v>
      </c>
      <c r="K14" t="s">
        <v>24</v>
      </c>
      <c r="L14" t="s">
        <v>29</v>
      </c>
    </row>
    <row r="15" spans="1:12" hidden="1">
      <c r="A15" s="5">
        <v>3</v>
      </c>
      <c r="B15" t="s">
        <v>25</v>
      </c>
      <c r="C15" t="s">
        <v>30</v>
      </c>
      <c r="D15" s="5">
        <v>3</v>
      </c>
      <c r="E15" t="s">
        <v>25</v>
      </c>
      <c r="F15" t="s">
        <v>30</v>
      </c>
      <c r="G15" s="5">
        <v>3</v>
      </c>
      <c r="H15" t="s">
        <v>25</v>
      </c>
      <c r="I15" t="s">
        <v>30</v>
      </c>
      <c r="J15" t="s">
        <v>30</v>
      </c>
      <c r="K15" t="s">
        <v>25</v>
      </c>
      <c r="L15" t="s">
        <v>30</v>
      </c>
    </row>
    <row r="16" spans="1:12">
      <c r="A16" s="5">
        <v>4</v>
      </c>
      <c r="B16" t="s">
        <v>26</v>
      </c>
      <c r="C16" t="s">
        <v>31</v>
      </c>
      <c r="D16" s="5">
        <v>4</v>
      </c>
      <c r="E16" t="s">
        <v>26</v>
      </c>
      <c r="F16" t="s">
        <v>31</v>
      </c>
      <c r="G16" s="5">
        <v>4</v>
      </c>
      <c r="H16" t="s">
        <v>26</v>
      </c>
      <c r="I16" t="s">
        <v>31</v>
      </c>
      <c r="J16" t="s">
        <v>31</v>
      </c>
      <c r="K16" t="s">
        <v>26</v>
      </c>
      <c r="L16" t="s">
        <v>31</v>
      </c>
    </row>
    <row r="17" spans="1:12" hidden="1">
      <c r="A17" s="5">
        <v>5</v>
      </c>
      <c r="B17" t="s">
        <v>27</v>
      </c>
      <c r="C17" t="s">
        <v>30</v>
      </c>
      <c r="D17" s="5">
        <v>5</v>
      </c>
      <c r="E17" t="s">
        <v>27</v>
      </c>
      <c r="F17" t="s">
        <v>30</v>
      </c>
      <c r="G17" s="5">
        <v>5</v>
      </c>
      <c r="H17" t="s">
        <v>27</v>
      </c>
      <c r="I17" t="s">
        <v>30</v>
      </c>
      <c r="J17" t="s">
        <v>30</v>
      </c>
      <c r="K17" t="s">
        <v>27</v>
      </c>
      <c r="L17" t="s">
        <v>30</v>
      </c>
    </row>
    <row r="18" spans="1:12" hidden="1">
      <c r="A18" s="5">
        <v>6</v>
      </c>
      <c r="B18" t="s">
        <v>28</v>
      </c>
      <c r="C18" t="s">
        <v>30</v>
      </c>
      <c r="D18" s="5">
        <v>6</v>
      </c>
      <c r="E18" t="s">
        <v>28</v>
      </c>
      <c r="F18" t="s">
        <v>30</v>
      </c>
      <c r="G18" s="5">
        <v>6</v>
      </c>
      <c r="H18" t="s">
        <v>28</v>
      </c>
      <c r="I18" t="s">
        <v>30</v>
      </c>
      <c r="J18" t="s">
        <v>30</v>
      </c>
      <c r="K18" t="s">
        <v>28</v>
      </c>
      <c r="L18" t="s">
        <v>30</v>
      </c>
    </row>
  </sheetData>
  <autoFilter ref="A12:L18" xr:uid="{D0921754-E28D-46DB-9D32-B21F4966784D}">
    <filterColumn colId="2">
      <filters>
        <filter val="BB"/>
      </filters>
    </filterColumn>
  </autoFilter>
  <sortState ref="A13:L18">
    <sortCondition ref="A1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F7F7E-A35C-4092-8E61-D41743AAD727}">
  <sheetPr codeName="Sheet4"/>
  <dimension ref="A1:C1"/>
  <sheetViews>
    <sheetView workbookViewId="0">
      <selection activeCell="C1" sqref="C1"/>
    </sheetView>
  </sheetViews>
  <sheetFormatPr defaultRowHeight="14.4"/>
  <sheetData>
    <row r="1" spans="1:3">
      <c r="A1">
        <v>2</v>
      </c>
      <c r="B1">
        <v>3</v>
      </c>
      <c r="C1">
        <f>SUM(A1:B2)</f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B8030-86CB-40EE-AF09-F373E2FCD352}">
  <sheetPr codeName="Sheet5"/>
  <dimension ref="A1:F25"/>
  <sheetViews>
    <sheetView workbookViewId="0"/>
  </sheetViews>
  <sheetFormatPr defaultRowHeight="14.4"/>
  <cols>
    <col min="1" max="3" width="24.5546875" bestFit="1" customWidth="1"/>
    <col min="4" max="4" width="11.6640625" bestFit="1" customWidth="1"/>
    <col min="5" max="5" width="16.21875" bestFit="1" customWidth="1"/>
    <col min="6" max="6" width="14.109375" bestFit="1" customWidth="1"/>
  </cols>
  <sheetData>
    <row r="1" spans="1:6">
      <c r="A1" s="6" t="s">
        <v>32</v>
      </c>
      <c r="B1" s="6" t="s">
        <v>42</v>
      </c>
      <c r="C1" s="6" t="s">
        <v>42</v>
      </c>
      <c r="D1" s="6" t="s">
        <v>42</v>
      </c>
      <c r="E1" s="6" t="s">
        <v>42</v>
      </c>
      <c r="F1" s="6" t="s">
        <v>42</v>
      </c>
    </row>
    <row r="2" spans="1:6">
      <c r="A2" s="6" t="s">
        <v>38</v>
      </c>
      <c r="B2" s="7" t="s">
        <v>33</v>
      </c>
      <c r="C2" s="7"/>
      <c r="D2" s="6"/>
      <c r="E2" s="6"/>
      <c r="F2" s="6"/>
    </row>
    <row r="3" spans="1:6">
      <c r="A3" s="6" t="s">
        <v>39</v>
      </c>
      <c r="B3" s="7" t="s">
        <v>35</v>
      </c>
      <c r="C3" s="7" t="s">
        <v>36</v>
      </c>
      <c r="D3" s="6"/>
      <c r="E3" s="6"/>
      <c r="F3" s="6"/>
    </row>
    <row r="4" spans="1:6">
      <c r="A4" s="6" t="s">
        <v>40</v>
      </c>
      <c r="B4" s="7" t="s">
        <v>37</v>
      </c>
      <c r="C4" s="7"/>
      <c r="D4" s="6"/>
      <c r="E4" s="6"/>
      <c r="F4" s="6"/>
    </row>
    <row r="5" spans="1:6">
      <c r="A5" s="6" t="s">
        <v>41</v>
      </c>
      <c r="B5" s="7" t="s">
        <v>36</v>
      </c>
      <c r="C5" s="7" t="s">
        <v>37</v>
      </c>
      <c r="D5" s="6"/>
      <c r="E5" s="6"/>
      <c r="F5" s="6"/>
    </row>
    <row r="6" spans="1:6">
      <c r="A6" s="6" t="s">
        <v>38</v>
      </c>
      <c r="B6" s="7" t="s">
        <v>33</v>
      </c>
      <c r="C6" s="7"/>
      <c r="D6" s="7"/>
      <c r="E6" s="7"/>
      <c r="F6" s="7"/>
    </row>
    <row r="7" spans="1:6">
      <c r="A7" s="6" t="s">
        <v>39</v>
      </c>
      <c r="B7" s="7" t="s">
        <v>35</v>
      </c>
      <c r="C7" s="7" t="s">
        <v>36</v>
      </c>
      <c r="D7" s="7"/>
      <c r="E7" s="7"/>
      <c r="F7" s="7"/>
    </row>
    <row r="8" spans="1:6">
      <c r="A8" s="6" t="s">
        <v>40</v>
      </c>
      <c r="B8" s="7" t="s">
        <v>37</v>
      </c>
      <c r="C8" s="7"/>
      <c r="D8" s="7"/>
      <c r="E8" s="7"/>
      <c r="F8" s="7"/>
    </row>
    <row r="9" spans="1:6">
      <c r="A9" s="6" t="s">
        <v>41</v>
      </c>
      <c r="B9" s="7" t="s">
        <v>36</v>
      </c>
      <c r="C9" s="7" t="s">
        <v>37</v>
      </c>
      <c r="D9" s="7"/>
      <c r="E9" s="7"/>
      <c r="F9" s="7"/>
    </row>
    <row r="11" spans="1:6">
      <c r="A11" s="19" t="s">
        <v>11</v>
      </c>
      <c r="B11" s="19"/>
      <c r="C11" s="19"/>
      <c r="D11" s="19"/>
      <c r="E11" s="19"/>
    </row>
    <row r="12" spans="1:6">
      <c r="A12" s="6"/>
      <c r="B12" s="6" t="s">
        <v>38</v>
      </c>
      <c r="C12" s="6" t="s">
        <v>39</v>
      </c>
      <c r="D12" s="6" t="s">
        <v>40</v>
      </c>
      <c r="E12" s="6" t="s">
        <v>41</v>
      </c>
    </row>
    <row r="13" spans="1:6">
      <c r="A13" s="8" t="s">
        <v>33</v>
      </c>
      <c r="B13" s="6">
        <v>2</v>
      </c>
      <c r="C13" s="6"/>
      <c r="D13" s="6"/>
      <c r="E13" s="6"/>
    </row>
    <row r="14" spans="1:6">
      <c r="A14" s="8" t="s">
        <v>34</v>
      </c>
      <c r="B14" s="6">
        <v>0</v>
      </c>
      <c r="C14" s="6"/>
      <c r="D14" s="6"/>
      <c r="E14" s="6"/>
    </row>
    <row r="15" spans="1:6">
      <c r="A15" s="8" t="s">
        <v>35</v>
      </c>
      <c r="B15" s="6">
        <v>0</v>
      </c>
      <c r="C15" s="6">
        <v>2</v>
      </c>
      <c r="D15" s="6"/>
      <c r="E15" s="6"/>
    </row>
    <row r="16" spans="1:6">
      <c r="A16" s="8" t="s">
        <v>36</v>
      </c>
      <c r="B16" s="6">
        <v>0</v>
      </c>
      <c r="C16" s="6">
        <v>2</v>
      </c>
      <c r="D16" s="6"/>
      <c r="E16" s="6">
        <v>2</v>
      </c>
    </row>
    <row r="17" spans="1:5">
      <c r="A17" s="8" t="s">
        <v>37</v>
      </c>
      <c r="B17" s="6">
        <v>0</v>
      </c>
      <c r="C17" s="6"/>
      <c r="D17" s="6">
        <v>2</v>
      </c>
      <c r="E17" s="6">
        <v>2</v>
      </c>
    </row>
    <row r="19" spans="1:5">
      <c r="A19" s="19" t="s">
        <v>43</v>
      </c>
      <c r="B19" s="19"/>
      <c r="C19" s="19"/>
      <c r="D19" s="19"/>
      <c r="E19" s="19"/>
    </row>
    <row r="20" spans="1:5">
      <c r="A20" s="6"/>
      <c r="B20" s="6" t="s">
        <v>38</v>
      </c>
      <c r="C20" s="6" t="s">
        <v>39</v>
      </c>
      <c r="D20" s="6" t="s">
        <v>40</v>
      </c>
      <c r="E20" s="6" t="s">
        <v>41</v>
      </c>
    </row>
    <row r="21" spans="1:5">
      <c r="A21" s="8" t="s">
        <v>33</v>
      </c>
      <c r="B21" s="6">
        <f>SUMPRODUCT(($B$2:$F$9=$A21)*($A$2:$A$9=B$20))</f>
        <v>2</v>
      </c>
      <c r="C21" s="6"/>
      <c r="D21" s="6"/>
      <c r="E21" s="6"/>
    </row>
    <row r="22" spans="1:5">
      <c r="A22" s="8" t="s">
        <v>34</v>
      </c>
      <c r="B22" s="6">
        <f t="shared" ref="B22:B25" si="0">SUMPRODUCT(($B$2:$F$9=$A22)*($A$2:$A$9=B$20))</f>
        <v>0</v>
      </c>
      <c r="C22" s="6"/>
      <c r="D22" s="6"/>
      <c r="E22" s="6"/>
    </row>
    <row r="23" spans="1:5">
      <c r="A23" s="8" t="s">
        <v>35</v>
      </c>
      <c r="B23" s="6">
        <f t="shared" si="0"/>
        <v>0</v>
      </c>
      <c r="C23" s="6"/>
      <c r="D23" s="6"/>
      <c r="E23" s="6"/>
    </row>
    <row r="24" spans="1:5">
      <c r="A24" s="8" t="s">
        <v>36</v>
      </c>
      <c r="B24" s="6">
        <f t="shared" si="0"/>
        <v>0</v>
      </c>
      <c r="C24" s="6"/>
      <c r="D24" s="6"/>
      <c r="E24" s="6"/>
    </row>
    <row r="25" spans="1:5">
      <c r="A25" s="8" t="s">
        <v>37</v>
      </c>
      <c r="B25" s="6">
        <f t="shared" si="0"/>
        <v>0</v>
      </c>
      <c r="C25" s="6"/>
      <c r="D25" s="6"/>
      <c r="E25" s="6"/>
    </row>
  </sheetData>
  <protectedRanges>
    <protectedRange algorithmName="SHA-512" hashValue="jzqwWhx6gu0zgFo9mnQqFWXuiuFtOzW40i3413nQVf55fr9S73CuAaEBGAec/ahzPjhR50k96mV2+TWwstduJg==" saltValue="IzAEP2wEqfaMQfd3X6TXgg==" spinCount="100000" sqref="B6:F9 B2:C5" name="unlocked cells" securityDescriptor="O:WDG:WDD:(D;;CC;;;S-1-5-21-1378325489-235085915-2652902825-48243)(D;;CC;;;S-1-5-21-1378325489-235085915-2652902825-57561)(D;;CC;;;S-1-5-21-1378325489-235085915-2652902825-57827)(D;;CC;;;S-1-5-21-1378325489-235085915-2652902825-57913)(D;;CC;;;S-1-5-21-1378325489-235085915-2652902825-87715)(D;;CC;;;S-1-5-21-1378325489-235085915-2652902825-91815)(A;;CC;;;S-1-5-21-1378325489-235085915-2652902825-60354)(A;;CC;;;S-1-5-21-1378325489-235085915-2652902825-87622)"/>
  </protectedRanges>
  <mergeCells count="2">
    <mergeCell ref="A19:E19"/>
    <mergeCell ref="A11:E11"/>
  </mergeCells>
  <conditionalFormatting sqref="B6:F6">
    <cfRule type="expression" dxfId="210" priority="33">
      <formula>B6&lt;&gt;0</formula>
    </cfRule>
    <cfRule type="expression" dxfId="209" priority="34">
      <formula>B6=0</formula>
    </cfRule>
  </conditionalFormatting>
  <conditionalFormatting sqref="D7:F7">
    <cfRule type="expression" dxfId="208" priority="31">
      <formula>D7&lt;&gt;0</formula>
    </cfRule>
    <cfRule type="expression" dxfId="207" priority="32">
      <formula>D7=0</formula>
    </cfRule>
  </conditionalFormatting>
  <conditionalFormatting sqref="B8:F8">
    <cfRule type="expression" dxfId="206" priority="29">
      <formula>B8&lt;&gt;0</formula>
    </cfRule>
    <cfRule type="expression" dxfId="205" priority="30">
      <formula>B8=0</formula>
    </cfRule>
  </conditionalFormatting>
  <conditionalFormatting sqref="B9 D9:F9">
    <cfRule type="expression" dxfId="204" priority="27">
      <formula>B9&lt;&gt;0</formula>
    </cfRule>
    <cfRule type="expression" dxfId="203" priority="28">
      <formula>B9=0</formula>
    </cfRule>
  </conditionalFormatting>
  <conditionalFormatting sqref="A13:A17">
    <cfRule type="expression" dxfId="202" priority="26">
      <formula>$E13&lt;&gt;0</formula>
    </cfRule>
  </conditionalFormatting>
  <conditionalFormatting sqref="A13:A17">
    <cfRule type="expression" dxfId="201" priority="24">
      <formula>$F13&lt;&gt;0</formula>
    </cfRule>
  </conditionalFormatting>
  <conditionalFormatting sqref="A13:A17">
    <cfRule type="expression" dxfId="200" priority="25">
      <formula>$G13&lt;&gt;0</formula>
    </cfRule>
  </conditionalFormatting>
  <conditionalFormatting sqref="C7">
    <cfRule type="expression" dxfId="199" priority="18">
      <formula>C7&lt;&gt;0</formula>
    </cfRule>
    <cfRule type="expression" dxfId="198" priority="19">
      <formula>C7=0</formula>
    </cfRule>
  </conditionalFormatting>
  <conditionalFormatting sqref="B7">
    <cfRule type="expression" dxfId="197" priority="20">
      <formula>B7&lt;&gt;0</formula>
    </cfRule>
    <cfRule type="expression" dxfId="196" priority="21">
      <formula>B7=0</formula>
    </cfRule>
  </conditionalFormatting>
  <conditionalFormatting sqref="C9">
    <cfRule type="expression" dxfId="195" priority="16">
      <formula>C9&lt;&gt;0</formula>
    </cfRule>
    <cfRule type="expression" dxfId="194" priority="17">
      <formula>C9=0</formula>
    </cfRule>
  </conditionalFormatting>
  <conditionalFormatting sqref="B2:C2">
    <cfRule type="expression" dxfId="193" priority="14">
      <formula>B2&lt;&gt;0</formula>
    </cfRule>
    <cfRule type="expression" dxfId="192" priority="15">
      <formula>B2=0</formula>
    </cfRule>
  </conditionalFormatting>
  <conditionalFormatting sqref="B4:C4">
    <cfRule type="expression" dxfId="191" priority="12">
      <formula>B4&lt;&gt;0</formula>
    </cfRule>
    <cfRule type="expression" dxfId="190" priority="13">
      <formula>B4=0</formula>
    </cfRule>
  </conditionalFormatting>
  <conditionalFormatting sqref="B5">
    <cfRule type="expression" dxfId="189" priority="10">
      <formula>B5&lt;&gt;0</formula>
    </cfRule>
    <cfRule type="expression" dxfId="188" priority="11">
      <formula>B5=0</formula>
    </cfRule>
  </conditionalFormatting>
  <conditionalFormatting sqref="C3">
    <cfRule type="expression" dxfId="187" priority="6">
      <formula>C3&lt;&gt;0</formula>
    </cfRule>
    <cfRule type="expression" dxfId="186" priority="7">
      <formula>C3=0</formula>
    </cfRule>
  </conditionalFormatting>
  <conditionalFormatting sqref="B3">
    <cfRule type="expression" dxfId="185" priority="8">
      <formula>B3&lt;&gt;0</formula>
    </cfRule>
    <cfRule type="expression" dxfId="184" priority="9">
      <formula>B3=0</formula>
    </cfRule>
  </conditionalFormatting>
  <conditionalFormatting sqref="C5">
    <cfRule type="expression" dxfId="183" priority="4">
      <formula>C5&lt;&gt;0</formula>
    </cfRule>
    <cfRule type="expression" dxfId="182" priority="5">
      <formula>C5=0</formula>
    </cfRule>
  </conditionalFormatting>
  <conditionalFormatting sqref="A21:A25">
    <cfRule type="expression" dxfId="181" priority="3">
      <formula>$E21&lt;&gt;0</formula>
    </cfRule>
  </conditionalFormatting>
  <conditionalFormatting sqref="A21:A25">
    <cfRule type="expression" dxfId="180" priority="1">
      <formula>$F21&lt;&gt;0</formula>
    </cfRule>
  </conditionalFormatting>
  <conditionalFormatting sqref="A21:A25">
    <cfRule type="expression" dxfId="179" priority="2">
      <formula>$G21&lt;&gt;0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9D4156-E3DF-424A-A588-A99EB6567698}">
  <sheetPr codeName="Sheet6"/>
  <dimension ref="A1:G17"/>
  <sheetViews>
    <sheetView workbookViewId="0">
      <selection activeCell="A2" sqref="A2"/>
    </sheetView>
  </sheetViews>
  <sheetFormatPr defaultRowHeight="14.4"/>
  <cols>
    <col min="1" max="1" width="24.5546875" bestFit="1" customWidth="1"/>
    <col min="2" max="2" width="3.44140625" customWidth="1"/>
    <col min="3" max="4" width="24.5546875" bestFit="1" customWidth="1"/>
    <col min="5" max="5" width="11.6640625" bestFit="1" customWidth="1"/>
    <col min="6" max="6" width="16.21875" bestFit="1" customWidth="1"/>
    <col min="7" max="7" width="14.109375" bestFit="1" customWidth="1"/>
  </cols>
  <sheetData>
    <row r="1" spans="1:7">
      <c r="A1" s="6" t="s">
        <v>44</v>
      </c>
      <c r="B1" s="6"/>
      <c r="C1" s="6" t="s">
        <v>42</v>
      </c>
      <c r="D1" s="6" t="s">
        <v>42</v>
      </c>
      <c r="E1" s="6" t="s">
        <v>42</v>
      </c>
      <c r="F1" s="6" t="s">
        <v>42</v>
      </c>
      <c r="G1" s="6" t="s">
        <v>42</v>
      </c>
    </row>
    <row r="2" spans="1:7">
      <c r="A2" s="9">
        <v>44322</v>
      </c>
      <c r="B2" s="9"/>
      <c r="C2" s="7" t="s">
        <v>33</v>
      </c>
      <c r="D2" s="7"/>
      <c r="E2" s="6"/>
      <c r="F2" s="7" t="s">
        <v>36</v>
      </c>
      <c r="G2" s="6"/>
    </row>
    <row r="3" spans="1:7">
      <c r="A3" s="9">
        <v>44322</v>
      </c>
      <c r="B3" s="9"/>
      <c r="C3" s="7" t="s">
        <v>35</v>
      </c>
      <c r="D3" s="7" t="s">
        <v>36</v>
      </c>
      <c r="E3" s="6"/>
      <c r="F3" s="6"/>
      <c r="G3" s="7" t="s">
        <v>36</v>
      </c>
    </row>
    <row r="4" spans="1:7">
      <c r="A4" s="9">
        <v>44322</v>
      </c>
      <c r="B4" s="9"/>
      <c r="C4" s="7" t="s">
        <v>37</v>
      </c>
      <c r="D4" s="7"/>
      <c r="E4" s="7" t="s">
        <v>36</v>
      </c>
      <c r="F4" s="6"/>
      <c r="G4" s="6"/>
    </row>
    <row r="5" spans="1:7">
      <c r="A5" s="9">
        <v>44322</v>
      </c>
      <c r="B5" s="9"/>
      <c r="C5" s="7" t="s">
        <v>36</v>
      </c>
      <c r="D5" s="7" t="s">
        <v>37</v>
      </c>
      <c r="E5" s="6"/>
      <c r="F5" s="6"/>
      <c r="G5" s="6"/>
    </row>
    <row r="6" spans="1:7">
      <c r="A6" s="9">
        <v>44323</v>
      </c>
      <c r="B6" s="9"/>
      <c r="C6" s="7" t="s">
        <v>33</v>
      </c>
      <c r="D6" s="7"/>
      <c r="E6" s="7"/>
      <c r="F6" s="7"/>
      <c r="G6" s="7"/>
    </row>
    <row r="7" spans="1:7">
      <c r="A7" s="9">
        <v>44323</v>
      </c>
      <c r="B7" s="9"/>
      <c r="C7" s="7" t="s">
        <v>35</v>
      </c>
      <c r="D7" s="7" t="s">
        <v>36</v>
      </c>
      <c r="E7" s="7"/>
      <c r="F7" s="7"/>
      <c r="G7" s="7"/>
    </row>
    <row r="8" spans="1:7">
      <c r="A8" s="9">
        <v>44323</v>
      </c>
      <c r="B8" s="9"/>
      <c r="C8" s="7" t="s">
        <v>37</v>
      </c>
      <c r="D8" s="7"/>
      <c r="E8" s="7"/>
      <c r="F8" s="7"/>
      <c r="G8" s="7"/>
    </row>
    <row r="9" spans="1:7">
      <c r="A9" s="9">
        <v>44323</v>
      </c>
      <c r="B9" s="9"/>
      <c r="C9" s="7" t="s">
        <v>36</v>
      </c>
      <c r="D9" s="7" t="s">
        <v>37</v>
      </c>
      <c r="E9" s="7"/>
      <c r="F9" s="7"/>
      <c r="G9" s="7"/>
    </row>
    <row r="11" spans="1:7">
      <c r="A11" s="19" t="s">
        <v>11</v>
      </c>
      <c r="B11" s="19"/>
      <c r="C11" s="19"/>
      <c r="D11" s="19"/>
      <c r="E11" s="19"/>
      <c r="F11" s="19"/>
    </row>
    <row r="12" spans="1:7">
      <c r="A12" s="6"/>
      <c r="B12" s="6"/>
      <c r="C12" s="9">
        <v>44322</v>
      </c>
      <c r="D12" s="9">
        <v>44323</v>
      </c>
      <c r="E12" s="6"/>
      <c r="F12" s="6"/>
    </row>
    <row r="13" spans="1:7">
      <c r="A13" s="8"/>
      <c r="B13" s="8"/>
      <c r="C13" s="10">
        <v>9</v>
      </c>
      <c r="D13" s="6">
        <v>6</v>
      </c>
      <c r="E13" s="6"/>
      <c r="F13" s="6"/>
    </row>
    <row r="15" spans="1:7">
      <c r="A15" s="19" t="s">
        <v>43</v>
      </c>
      <c r="B15" s="19"/>
      <c r="C15" s="19"/>
      <c r="D15" s="19"/>
      <c r="E15" s="19"/>
      <c r="F15" s="19"/>
    </row>
    <row r="16" spans="1:7">
      <c r="A16" s="6"/>
      <c r="B16" s="6"/>
      <c r="C16" s="9">
        <v>44322</v>
      </c>
      <c r="D16" s="9">
        <v>44323</v>
      </c>
      <c r="E16" s="6"/>
      <c r="F16" s="6"/>
    </row>
    <row r="17" spans="1:6">
      <c r="A17" s="8"/>
      <c r="B17" s="8"/>
      <c r="C17" s="10"/>
      <c r="D17" s="6"/>
      <c r="E17" s="6"/>
      <c r="F17" s="6"/>
    </row>
  </sheetData>
  <protectedRanges>
    <protectedRange algorithmName="SHA-512" hashValue="jzqwWhx6gu0zgFo9mnQqFWXuiuFtOzW40i3413nQVf55fr9S73CuAaEBGAec/ahzPjhR50k96mV2+TWwstduJg==" saltValue="IzAEP2wEqfaMQfd3X6TXgg==" spinCount="100000" sqref="C6:G9 C2:D5 G3 E4 F2" name="unlocked cells" securityDescriptor="O:WDG:WDD:(D;;CC;;;S-1-5-21-1378325489-235085915-2652902825-48243)(D;;CC;;;S-1-5-21-1378325489-235085915-2652902825-57561)(D;;CC;;;S-1-5-21-1378325489-235085915-2652902825-57827)(D;;CC;;;S-1-5-21-1378325489-235085915-2652902825-57913)(D;;CC;;;S-1-5-21-1378325489-235085915-2652902825-87715)(D;;CC;;;S-1-5-21-1378325489-235085915-2652902825-91815)(A;;CC;;;S-1-5-21-1378325489-235085915-2652902825-60354)(A;;CC;;;S-1-5-21-1378325489-235085915-2652902825-87622)"/>
  </protectedRanges>
  <mergeCells count="2">
    <mergeCell ref="A11:F11"/>
    <mergeCell ref="A15:F15"/>
  </mergeCells>
  <conditionalFormatting sqref="C6:G6">
    <cfRule type="expression" dxfId="178" priority="37">
      <formula>C6&lt;&gt;0</formula>
    </cfRule>
    <cfRule type="expression" dxfId="177" priority="38">
      <formula>C6=0</formula>
    </cfRule>
  </conditionalFormatting>
  <conditionalFormatting sqref="E7:G7">
    <cfRule type="expression" dxfId="176" priority="35">
      <formula>E7&lt;&gt;0</formula>
    </cfRule>
    <cfRule type="expression" dxfId="175" priority="36">
      <formula>E7=0</formula>
    </cfRule>
  </conditionalFormatting>
  <conditionalFormatting sqref="C8:G8">
    <cfRule type="expression" dxfId="174" priority="33">
      <formula>C8&lt;&gt;0</formula>
    </cfRule>
    <cfRule type="expression" dxfId="173" priority="34">
      <formula>C8=0</formula>
    </cfRule>
  </conditionalFormatting>
  <conditionalFormatting sqref="C9 E9:G9">
    <cfRule type="expression" dxfId="172" priority="31">
      <formula>C9&lt;&gt;0</formula>
    </cfRule>
    <cfRule type="expression" dxfId="171" priority="32">
      <formula>C9=0</formula>
    </cfRule>
  </conditionalFormatting>
  <conditionalFormatting sqref="A17:B17 A13:B13">
    <cfRule type="expression" dxfId="170" priority="30">
      <formula>$F13&lt;&gt;0</formula>
    </cfRule>
  </conditionalFormatting>
  <conditionalFormatting sqref="A17:B17 A13:B13">
    <cfRule type="expression" dxfId="169" priority="28">
      <formula>$G13&lt;&gt;0</formula>
    </cfRule>
  </conditionalFormatting>
  <conditionalFormatting sqref="A17:B17 A13:B13">
    <cfRule type="expression" dxfId="168" priority="29">
      <formula>$H13&lt;&gt;0</formula>
    </cfRule>
  </conditionalFormatting>
  <conditionalFormatting sqref="D7">
    <cfRule type="expression" dxfId="167" priority="24">
      <formula>D7&lt;&gt;0</formula>
    </cfRule>
    <cfRule type="expression" dxfId="166" priority="25">
      <formula>D7=0</formula>
    </cfRule>
  </conditionalFormatting>
  <conditionalFormatting sqref="C7">
    <cfRule type="expression" dxfId="165" priority="26">
      <formula>C7&lt;&gt;0</formula>
    </cfRule>
    <cfRule type="expression" dxfId="164" priority="27">
      <formula>C7=0</formula>
    </cfRule>
  </conditionalFormatting>
  <conditionalFormatting sqref="D9">
    <cfRule type="expression" dxfId="163" priority="22">
      <formula>D9&lt;&gt;0</formula>
    </cfRule>
    <cfRule type="expression" dxfId="162" priority="23">
      <formula>D9=0</formula>
    </cfRule>
  </conditionalFormatting>
  <conditionalFormatting sqref="C2:D2">
    <cfRule type="expression" dxfId="161" priority="20">
      <formula>C2&lt;&gt;0</formula>
    </cfRule>
    <cfRule type="expression" dxfId="160" priority="21">
      <formula>C2=0</formula>
    </cfRule>
  </conditionalFormatting>
  <conditionalFormatting sqref="C4:D4">
    <cfRule type="expression" dxfId="159" priority="18">
      <formula>C4&lt;&gt;0</formula>
    </cfRule>
    <cfRule type="expression" dxfId="158" priority="19">
      <formula>C4=0</formula>
    </cfRule>
  </conditionalFormatting>
  <conditionalFormatting sqref="C5">
    <cfRule type="expression" dxfId="157" priority="16">
      <formula>C5&lt;&gt;0</formula>
    </cfRule>
    <cfRule type="expression" dxfId="156" priority="17">
      <formula>C5=0</formula>
    </cfRule>
  </conditionalFormatting>
  <conditionalFormatting sqref="D3">
    <cfRule type="expression" dxfId="155" priority="12">
      <formula>D3&lt;&gt;0</formula>
    </cfRule>
    <cfRule type="expression" dxfId="154" priority="13">
      <formula>D3=0</formula>
    </cfRule>
  </conditionalFormatting>
  <conditionalFormatting sqref="C3">
    <cfRule type="expression" dxfId="153" priority="14">
      <formula>C3&lt;&gt;0</formula>
    </cfRule>
    <cfRule type="expression" dxfId="152" priority="15">
      <formula>C3=0</formula>
    </cfRule>
  </conditionalFormatting>
  <conditionalFormatting sqref="D5">
    <cfRule type="expression" dxfId="151" priority="10">
      <formula>D5&lt;&gt;0</formula>
    </cfRule>
    <cfRule type="expression" dxfId="150" priority="11">
      <formula>D5=0</formula>
    </cfRule>
  </conditionalFormatting>
  <conditionalFormatting sqref="G3">
    <cfRule type="expression" dxfId="149" priority="5">
      <formula>G3&lt;&gt;0</formula>
    </cfRule>
    <cfRule type="expression" dxfId="148" priority="6">
      <formula>G3=0</formula>
    </cfRule>
  </conditionalFormatting>
  <conditionalFormatting sqref="E4">
    <cfRule type="expression" dxfId="147" priority="3">
      <formula>E4&lt;&gt;0</formula>
    </cfRule>
    <cfRule type="expression" dxfId="146" priority="4">
      <formula>E4=0</formula>
    </cfRule>
  </conditionalFormatting>
  <conditionalFormatting sqref="F2">
    <cfRule type="expression" dxfId="145" priority="1">
      <formula>F2&lt;&gt;0</formula>
    </cfRule>
    <cfRule type="expression" dxfId="144" priority="2">
      <formula>F2=0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6BFDC-35A9-4AA5-AA4D-6E477ED92439}">
  <sheetPr codeName="Sheet7"/>
  <dimension ref="C2:H12"/>
  <sheetViews>
    <sheetView workbookViewId="0">
      <selection activeCell="G16" sqref="G16"/>
    </sheetView>
  </sheetViews>
  <sheetFormatPr defaultRowHeight="14.4"/>
  <cols>
    <col min="1" max="1" width="12.77734375" customWidth="1"/>
    <col min="2" max="2" width="2.88671875" customWidth="1"/>
    <col min="3" max="3" width="14.77734375" customWidth="1"/>
    <col min="5" max="5" width="24.5546875" bestFit="1" customWidth="1"/>
    <col min="6" max="9" width="16.21875" bestFit="1" customWidth="1"/>
    <col min="11" max="11" width="24.5546875" bestFit="1" customWidth="1"/>
    <col min="12" max="15" width="16.21875" bestFit="1" customWidth="1"/>
    <col min="17" max="17" width="24.5546875" bestFit="1" customWidth="1"/>
    <col min="18" max="21" width="16.21875" bestFit="1" customWidth="1"/>
  </cols>
  <sheetData>
    <row r="2" spans="3:8">
      <c r="C2" s="19" t="s">
        <v>11</v>
      </c>
      <c r="D2" s="19"/>
      <c r="E2" s="19"/>
      <c r="F2" s="19"/>
      <c r="G2" s="19"/>
      <c r="H2" s="19"/>
    </row>
    <row r="3" spans="3:8">
      <c r="C3" s="6"/>
      <c r="D3" s="6"/>
      <c r="E3" s="9">
        <v>44322</v>
      </c>
      <c r="F3" s="9">
        <v>44323</v>
      </c>
      <c r="G3" s="9">
        <v>44324</v>
      </c>
      <c r="H3" s="6"/>
    </row>
    <row r="4" spans="3:8">
      <c r="C4" s="8" t="s">
        <v>45</v>
      </c>
      <c r="D4" s="8"/>
      <c r="E4" s="10">
        <v>2</v>
      </c>
      <c r="F4" s="10">
        <v>3</v>
      </c>
      <c r="G4" s="6">
        <v>4</v>
      </c>
      <c r="H4" s="6"/>
    </row>
    <row r="5" spans="3:8">
      <c r="C5" s="6" t="s">
        <v>46</v>
      </c>
      <c r="D5" s="6"/>
      <c r="E5" s="6">
        <v>2</v>
      </c>
      <c r="F5" s="6">
        <v>1</v>
      </c>
      <c r="G5" s="6">
        <v>2</v>
      </c>
      <c r="H5" s="6"/>
    </row>
    <row r="6" spans="3:8">
      <c r="C6" s="6" t="s">
        <v>47</v>
      </c>
      <c r="D6" s="6"/>
      <c r="E6" s="6">
        <v>2</v>
      </c>
      <c r="F6" s="6">
        <v>3</v>
      </c>
      <c r="G6" s="6">
        <v>0</v>
      </c>
      <c r="H6" s="6"/>
    </row>
    <row r="8" spans="3:8">
      <c r="C8" s="19" t="s">
        <v>11</v>
      </c>
      <c r="D8" s="19"/>
      <c r="E8" s="19"/>
      <c r="F8" s="19"/>
      <c r="G8" s="19"/>
      <c r="H8" s="19"/>
    </row>
    <row r="9" spans="3:8">
      <c r="C9" s="6"/>
      <c r="D9" s="6"/>
      <c r="E9" s="9">
        <v>44322</v>
      </c>
      <c r="F9" s="9">
        <v>44323</v>
      </c>
      <c r="G9" s="9">
        <v>44324</v>
      </c>
      <c r="H9" s="6"/>
    </row>
    <row r="10" spans="3:8">
      <c r="C10" s="8" t="s">
        <v>45</v>
      </c>
      <c r="D10" s="8"/>
      <c r="E10" s="10">
        <f>SUMPRODUCT((Test_Data!N2:R9:'Test_Data'!AO2:AS9:'Test_Data'!BE2:BI9&lt;&gt;"")*(Test_Data!I2:I9=$E$9)*(Test_Data!L2:L9=C10))</f>
        <v>4</v>
      </c>
      <c r="F10" s="10"/>
      <c r="G10" s="10"/>
      <c r="H10" s="6"/>
    </row>
    <row r="11" spans="3:8">
      <c r="C11" s="6" t="s">
        <v>46</v>
      </c>
      <c r="D11" s="6"/>
      <c r="E11" s="10"/>
      <c r="F11" s="6"/>
      <c r="G11" s="6"/>
      <c r="H11" s="6"/>
    </row>
    <row r="12" spans="3:8">
      <c r="C12" s="6" t="s">
        <v>47</v>
      </c>
      <c r="D12" s="6"/>
      <c r="E12" s="10"/>
      <c r="F12" s="6"/>
      <c r="G12" s="6"/>
      <c r="H12" s="6"/>
    </row>
  </sheetData>
  <mergeCells count="2">
    <mergeCell ref="C2:H2"/>
    <mergeCell ref="C8:H8"/>
  </mergeCells>
  <conditionalFormatting sqref="C4:D4">
    <cfRule type="expression" dxfId="143" priority="140">
      <formula>$H4&lt;&gt;0</formula>
    </cfRule>
  </conditionalFormatting>
  <conditionalFormatting sqref="C4:D4">
    <cfRule type="expression" dxfId="142" priority="138">
      <formula>$I4&lt;&gt;0</formula>
    </cfRule>
  </conditionalFormatting>
  <conditionalFormatting sqref="C4:D4">
    <cfRule type="expression" dxfId="141" priority="139">
      <formula>$J4&lt;&gt;0</formula>
    </cfRule>
  </conditionalFormatting>
  <conditionalFormatting sqref="C10:D10">
    <cfRule type="expression" dxfId="140" priority="101">
      <formula>$H10&lt;&gt;0</formula>
    </cfRule>
  </conditionalFormatting>
  <conditionalFormatting sqref="C10:D10">
    <cfRule type="expression" dxfId="139" priority="99">
      <formula>$I10&lt;&gt;0</formula>
    </cfRule>
  </conditionalFormatting>
  <conditionalFormatting sqref="C10:D10">
    <cfRule type="expression" dxfId="138" priority="100">
      <formula>$J10&lt;&gt;0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02F4E-26FE-47D9-AEC3-A4028C74AECF}">
  <sheetPr codeName="Sheet8"/>
  <dimension ref="I1:BI21"/>
  <sheetViews>
    <sheetView topLeftCell="I1" workbookViewId="0">
      <selection activeCell="I2" sqref="I2"/>
    </sheetView>
  </sheetViews>
  <sheetFormatPr defaultRowHeight="14.4"/>
  <cols>
    <col min="1" max="8" width="0" hidden="1" customWidth="1"/>
    <col min="9" max="10" width="11.77734375" customWidth="1"/>
    <col min="11" max="11" width="2.88671875" customWidth="1"/>
    <col min="12" max="12" width="10.5546875" customWidth="1"/>
    <col min="14" max="14" width="24.5546875" bestFit="1" customWidth="1"/>
    <col min="15" max="18" width="16.21875" bestFit="1" customWidth="1"/>
    <col min="19" max="19" width="16.21875" customWidth="1"/>
    <col min="20" max="39" width="16.21875" hidden="1" customWidth="1"/>
    <col min="40" max="40" width="0" hidden="1" customWidth="1"/>
    <col min="41" max="41" width="24.5546875" bestFit="1" customWidth="1"/>
    <col min="42" max="45" width="16.21875" bestFit="1" customWidth="1"/>
    <col min="46" max="46" width="16.21875" customWidth="1"/>
    <col min="47" max="56" width="16.21875" hidden="1" customWidth="1"/>
    <col min="57" max="57" width="24.5546875" bestFit="1" customWidth="1"/>
    <col min="58" max="61" width="16.21875" bestFit="1" customWidth="1"/>
  </cols>
  <sheetData>
    <row r="1" spans="9:61">
      <c r="I1" s="6" t="s">
        <v>44</v>
      </c>
      <c r="J1" s="6"/>
      <c r="K1" s="6"/>
      <c r="L1" s="6" t="s">
        <v>32</v>
      </c>
      <c r="M1" s="6"/>
      <c r="N1" s="6" t="s">
        <v>42</v>
      </c>
      <c r="O1" s="6" t="s">
        <v>42</v>
      </c>
      <c r="P1" s="6" t="s">
        <v>42</v>
      </c>
      <c r="Q1" s="6" t="s">
        <v>42</v>
      </c>
      <c r="R1" s="6" t="s">
        <v>42</v>
      </c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O1" s="6" t="s">
        <v>42</v>
      </c>
      <c r="AP1" s="6" t="s">
        <v>42</v>
      </c>
      <c r="AQ1" s="6" t="s">
        <v>42</v>
      </c>
      <c r="AR1" s="6" t="s">
        <v>42</v>
      </c>
      <c r="AS1" s="6" t="s">
        <v>42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6" t="s">
        <v>42</v>
      </c>
      <c r="BF1" s="6" t="s">
        <v>42</v>
      </c>
      <c r="BG1" s="6" t="s">
        <v>42</v>
      </c>
      <c r="BH1" s="6" t="s">
        <v>42</v>
      </c>
      <c r="BI1" s="6" t="s">
        <v>42</v>
      </c>
    </row>
    <row r="2" spans="9:61">
      <c r="I2" s="9">
        <v>44322</v>
      </c>
      <c r="J2" s="9"/>
      <c r="K2" s="9"/>
      <c r="L2" s="6" t="s">
        <v>45</v>
      </c>
      <c r="M2" s="9"/>
      <c r="N2" s="7" t="s">
        <v>33</v>
      </c>
      <c r="O2" s="7"/>
      <c r="P2" s="7"/>
      <c r="Q2" s="7" t="s">
        <v>33</v>
      </c>
      <c r="R2" s="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O2" s="7" t="s">
        <v>37</v>
      </c>
      <c r="AP2" s="7"/>
      <c r="AQ2" s="7"/>
      <c r="AR2" s="7"/>
      <c r="AS2" s="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7" t="s">
        <v>36</v>
      </c>
      <c r="BF2" s="7"/>
      <c r="BG2" s="7"/>
      <c r="BH2" s="7"/>
      <c r="BI2" s="6"/>
    </row>
    <row r="3" spans="9:61">
      <c r="I3" s="9"/>
      <c r="J3" s="9"/>
      <c r="K3" s="9"/>
      <c r="L3" s="6" t="s">
        <v>45</v>
      </c>
      <c r="M3" s="9"/>
      <c r="N3" s="7"/>
      <c r="O3" s="7"/>
      <c r="P3" s="6"/>
      <c r="Q3" s="6"/>
      <c r="R3" s="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O3" s="7"/>
      <c r="AP3" s="7"/>
      <c r="AQ3" s="6"/>
      <c r="AR3" s="6"/>
      <c r="AS3" s="7"/>
      <c r="AT3" s="17"/>
      <c r="AU3" s="17"/>
      <c r="AV3" s="17"/>
      <c r="AW3" s="17"/>
      <c r="AX3" s="17"/>
      <c r="AY3" s="17"/>
      <c r="AZ3" s="17"/>
      <c r="BA3" s="17"/>
      <c r="BB3" s="17"/>
      <c r="BC3" s="17"/>
      <c r="BD3" s="17"/>
      <c r="BE3" s="7"/>
      <c r="BF3" s="7"/>
      <c r="BG3" s="6"/>
      <c r="BH3" s="6"/>
      <c r="BI3" s="7"/>
    </row>
    <row r="4" spans="9:61">
      <c r="I4" s="9"/>
      <c r="J4" s="9"/>
      <c r="K4" s="9"/>
      <c r="L4" s="6" t="s">
        <v>46</v>
      </c>
      <c r="M4" s="9"/>
      <c r="N4" s="7"/>
      <c r="O4" s="7"/>
      <c r="P4" s="7"/>
      <c r="Q4" s="6"/>
      <c r="R4" s="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O4" s="7"/>
      <c r="AP4" s="7"/>
      <c r="AQ4" s="7"/>
      <c r="AR4" s="6"/>
      <c r="AS4" s="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7"/>
      <c r="BF4" s="7"/>
      <c r="BG4" s="7"/>
      <c r="BH4" s="6"/>
      <c r="BI4" s="6"/>
    </row>
    <row r="5" spans="9:61">
      <c r="I5" s="9"/>
      <c r="J5" s="9"/>
      <c r="K5" s="9"/>
      <c r="L5" s="6" t="s">
        <v>46</v>
      </c>
      <c r="M5" s="9"/>
      <c r="N5" s="7"/>
      <c r="O5" s="7"/>
      <c r="P5" s="6"/>
      <c r="Q5" s="6"/>
      <c r="R5" s="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O5" s="7"/>
      <c r="AP5" s="7"/>
      <c r="AQ5" s="6"/>
      <c r="AR5" s="6"/>
      <c r="AS5" s="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7"/>
      <c r="BF5" s="7"/>
      <c r="BG5" s="6"/>
      <c r="BH5" s="6"/>
      <c r="BI5" s="6"/>
    </row>
    <row r="6" spans="9:61">
      <c r="I6" s="9"/>
      <c r="J6" s="9"/>
      <c r="K6" s="9"/>
      <c r="L6" s="6" t="s">
        <v>46</v>
      </c>
      <c r="M6" s="9"/>
      <c r="N6" s="7"/>
      <c r="O6" s="7"/>
      <c r="P6" s="7"/>
      <c r="Q6" s="7"/>
      <c r="R6" s="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O6" s="7"/>
      <c r="AP6" s="7"/>
      <c r="AQ6" s="7"/>
      <c r="AR6" s="7"/>
      <c r="AS6" s="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7"/>
      <c r="BF6" s="7"/>
      <c r="BG6" s="7"/>
      <c r="BH6" s="7"/>
      <c r="BI6" s="7"/>
    </row>
    <row r="7" spans="9:61">
      <c r="I7" s="9"/>
      <c r="J7" s="9"/>
      <c r="K7" s="9"/>
      <c r="L7" s="6" t="s">
        <v>45</v>
      </c>
      <c r="M7" s="9"/>
      <c r="N7" s="7"/>
      <c r="O7" s="7"/>
      <c r="P7" s="7"/>
      <c r="Q7" s="7"/>
      <c r="R7" s="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O7" s="7"/>
      <c r="AP7" s="7"/>
      <c r="AQ7" s="7"/>
      <c r="AR7" s="7"/>
      <c r="AS7" s="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7"/>
      <c r="BF7" s="7"/>
      <c r="BG7" s="7"/>
      <c r="BH7" s="7"/>
      <c r="BI7" s="7"/>
    </row>
    <row r="8" spans="9:61">
      <c r="I8" s="9"/>
      <c r="J8" s="9"/>
      <c r="K8" s="9"/>
      <c r="L8" s="6" t="s">
        <v>47</v>
      </c>
      <c r="M8" s="9"/>
      <c r="N8" s="7"/>
      <c r="O8" s="7"/>
      <c r="P8" s="7"/>
      <c r="Q8" s="7"/>
      <c r="R8" s="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O8" s="7"/>
      <c r="AP8" s="7"/>
      <c r="AQ8" s="7"/>
      <c r="AR8" s="7"/>
      <c r="AS8" s="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7"/>
      <c r="BF8" s="7"/>
      <c r="BG8" s="7"/>
      <c r="BH8" s="7"/>
      <c r="BI8" s="7"/>
    </row>
    <row r="9" spans="9:61">
      <c r="I9" s="9"/>
      <c r="J9" s="9"/>
      <c r="K9" s="9"/>
      <c r="L9" s="6" t="s">
        <v>47</v>
      </c>
      <c r="M9" s="9"/>
      <c r="N9" s="7"/>
      <c r="O9" s="7"/>
      <c r="P9" s="7"/>
      <c r="Q9" s="7"/>
      <c r="R9" s="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O9" s="7"/>
      <c r="AP9" s="7"/>
      <c r="AQ9" s="7"/>
      <c r="AR9" s="7"/>
      <c r="AS9" s="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7"/>
      <c r="BF9" s="7"/>
      <c r="BG9" s="7"/>
      <c r="BH9" s="7"/>
      <c r="BI9" s="7"/>
    </row>
    <row r="11" spans="9:61">
      <c r="L11" s="12"/>
      <c r="M11" s="13"/>
      <c r="N11" s="13"/>
      <c r="O11" s="13"/>
      <c r="P11" s="13"/>
      <c r="Q11" s="14"/>
    </row>
    <row r="12" spans="9:61">
      <c r="L12" s="6"/>
      <c r="M12" s="6"/>
      <c r="N12" s="11" t="s">
        <v>48</v>
      </c>
      <c r="O12" s="9"/>
      <c r="P12" s="9"/>
      <c r="Q12" s="6"/>
    </row>
    <row r="13" spans="9:61">
      <c r="L13" s="8"/>
      <c r="M13" s="8"/>
      <c r="N13" s="8" t="s">
        <v>33</v>
      </c>
      <c r="O13" s="10"/>
      <c r="P13" s="6"/>
      <c r="Q13" s="6"/>
    </row>
    <row r="14" spans="9:61">
      <c r="L14" s="6"/>
      <c r="M14" s="6"/>
      <c r="N14" s="8" t="s">
        <v>34</v>
      </c>
      <c r="O14" s="6"/>
      <c r="P14" s="6"/>
      <c r="Q14" s="6"/>
    </row>
    <row r="15" spans="9:61">
      <c r="L15" s="6"/>
      <c r="M15" s="6"/>
      <c r="N15" s="8" t="s">
        <v>35</v>
      </c>
      <c r="O15" s="6"/>
      <c r="P15" s="6"/>
      <c r="Q15" s="6"/>
    </row>
    <row r="16" spans="9:61">
      <c r="N16" s="8" t="s">
        <v>36</v>
      </c>
    </row>
    <row r="17" spans="12:17">
      <c r="L17" s="15"/>
      <c r="M17" s="15"/>
      <c r="N17" s="8" t="s">
        <v>37</v>
      </c>
      <c r="O17" s="15"/>
      <c r="P17" s="15"/>
      <c r="Q17" s="15"/>
    </row>
    <row r="18" spans="12:17">
      <c r="L18" s="6"/>
      <c r="M18" s="6"/>
      <c r="N18" s="9"/>
      <c r="O18" s="9"/>
      <c r="P18" s="9"/>
      <c r="Q18" s="6"/>
    </row>
    <row r="19" spans="12:17">
      <c r="L19" s="8"/>
      <c r="M19" s="8"/>
      <c r="N19" s="10"/>
      <c r="O19" s="10"/>
      <c r="P19" s="10"/>
      <c r="Q19" s="6"/>
    </row>
    <row r="20" spans="12:17">
      <c r="L20" s="6"/>
      <c r="M20" s="6"/>
      <c r="N20" s="10"/>
      <c r="O20" s="6"/>
      <c r="P20" s="6"/>
      <c r="Q20" s="6"/>
    </row>
    <row r="21" spans="12:17">
      <c r="L21" s="6"/>
      <c r="M21" s="6"/>
      <c r="N21" s="10"/>
      <c r="O21" s="6"/>
      <c r="P21" s="6"/>
      <c r="Q21" s="6"/>
    </row>
  </sheetData>
  <protectedRanges>
    <protectedRange algorithmName="SHA-512" hashValue="jzqwWhx6gu0zgFo9mnQqFWXuiuFtOzW40i3413nQVf55fr9S73CuAaEBGAec/ahzPjhR50k96mV2+TWwstduJg==" saltValue="IzAEP2wEqfaMQfd3X6TXgg==" spinCount="100000" sqref="N3:O5 N6:AM9 BE2:BH2 AO3:AP5 AS3:BD3 AQ4 R3:AM3 BE3:BF5 BI3 BG4 BE6:BI9 N2:Q2 P4 AO2:AR2 AO6:BD9" name="unlocked cells" securityDescriptor="O:WDG:WDD:(D;;CC;;;S-1-5-21-1378325489-235085915-2652902825-48243)(D;;CC;;;S-1-5-21-1378325489-235085915-2652902825-57561)(D;;CC;;;S-1-5-21-1378325489-235085915-2652902825-57827)(D;;CC;;;S-1-5-21-1378325489-235085915-2652902825-57913)(D;;CC;;;S-1-5-21-1378325489-235085915-2652902825-87715)(D;;CC;;;S-1-5-21-1378325489-235085915-2652902825-91815)(A;;CC;;;S-1-5-21-1378325489-235085915-2652902825-60354)(A;;CC;;;S-1-5-21-1378325489-235085915-2652902825-87622)"/>
  </protectedRanges>
  <conditionalFormatting sqref="N6:AM6">
    <cfRule type="expression" dxfId="137" priority="139">
      <formula>N6&lt;&gt;0</formula>
    </cfRule>
    <cfRule type="expression" dxfId="136" priority="140">
      <formula>N6=0</formula>
    </cfRule>
  </conditionalFormatting>
  <conditionalFormatting sqref="N8:P8 R8:AM8">
    <cfRule type="expression" dxfId="135" priority="137">
      <formula>N8&lt;&gt;0</formula>
    </cfRule>
    <cfRule type="expression" dxfId="134" priority="138">
      <formula>N8=0</formula>
    </cfRule>
  </conditionalFormatting>
  <conditionalFormatting sqref="N9 P9 R9:AM9">
    <cfRule type="expression" dxfId="133" priority="135">
      <formula>N9&lt;&gt;0</formula>
    </cfRule>
    <cfRule type="expression" dxfId="132" priority="136">
      <formula>N9=0</formula>
    </cfRule>
  </conditionalFormatting>
  <conditionalFormatting sqref="L13:M13">
    <cfRule type="expression" dxfId="131" priority="134">
      <formula>$Q13&lt;&gt;0</formula>
    </cfRule>
  </conditionalFormatting>
  <conditionalFormatting sqref="L13:M13">
    <cfRule type="expression" dxfId="130" priority="132">
      <formula>$R13&lt;&gt;0</formula>
    </cfRule>
  </conditionalFormatting>
  <conditionalFormatting sqref="L13:M13">
    <cfRule type="expression" dxfId="129" priority="133">
      <formula>$AN13&lt;&gt;0</formula>
    </cfRule>
  </conditionalFormatting>
  <conditionalFormatting sqref="O7">
    <cfRule type="expression" dxfId="128" priority="128">
      <formula>O7&lt;&gt;0</formula>
    </cfRule>
    <cfRule type="expression" dxfId="127" priority="129">
      <formula>O7=0</formula>
    </cfRule>
  </conditionalFormatting>
  <conditionalFormatting sqref="N7">
    <cfRule type="expression" dxfId="126" priority="130">
      <formula>N7&lt;&gt;0</formula>
    </cfRule>
    <cfRule type="expression" dxfId="125" priority="131">
      <formula>N7=0</formula>
    </cfRule>
  </conditionalFormatting>
  <conditionalFormatting sqref="O9">
    <cfRule type="expression" dxfId="124" priority="126">
      <formula>O9&lt;&gt;0</formula>
    </cfRule>
    <cfRule type="expression" dxfId="123" priority="127">
      <formula>O9=0</formula>
    </cfRule>
  </conditionalFormatting>
  <conditionalFormatting sqref="O2">
    <cfRule type="expression" dxfId="122" priority="124">
      <formula>O2&lt;&gt;0</formula>
    </cfRule>
    <cfRule type="expression" dxfId="121" priority="125">
      <formula>O2=0</formula>
    </cfRule>
  </conditionalFormatting>
  <conditionalFormatting sqref="N4:O4">
    <cfRule type="expression" dxfId="120" priority="122">
      <formula>N4&lt;&gt;0</formula>
    </cfRule>
    <cfRule type="expression" dxfId="119" priority="123">
      <formula>N4=0</formula>
    </cfRule>
  </conditionalFormatting>
  <conditionalFormatting sqref="N5">
    <cfRule type="expression" dxfId="118" priority="120">
      <formula>N5&lt;&gt;0</formula>
    </cfRule>
    <cfRule type="expression" dxfId="117" priority="121">
      <formula>N5=0</formula>
    </cfRule>
  </conditionalFormatting>
  <conditionalFormatting sqref="O3">
    <cfRule type="expression" dxfId="116" priority="116">
      <formula>O3&lt;&gt;0</formula>
    </cfRule>
    <cfRule type="expression" dxfId="115" priority="117">
      <formula>O3=0</formula>
    </cfRule>
  </conditionalFormatting>
  <conditionalFormatting sqref="N3">
    <cfRule type="expression" dxfId="114" priority="118">
      <formula>N3&lt;&gt;0</formula>
    </cfRule>
    <cfRule type="expression" dxfId="113" priority="119">
      <formula>N3=0</formula>
    </cfRule>
  </conditionalFormatting>
  <conditionalFormatting sqref="O5">
    <cfRule type="expression" dxfId="112" priority="114">
      <formula>O5&lt;&gt;0</formula>
    </cfRule>
    <cfRule type="expression" dxfId="111" priority="115">
      <formula>O5=0</formula>
    </cfRule>
  </conditionalFormatting>
  <conditionalFormatting sqref="Q2">
    <cfRule type="expression" dxfId="110" priority="112">
      <formula>Q2&lt;&gt;0</formula>
    </cfRule>
    <cfRule type="expression" dxfId="109" priority="113">
      <formula>Q2=0</formula>
    </cfRule>
  </conditionalFormatting>
  <conditionalFormatting sqref="Q9">
    <cfRule type="expression" dxfId="108" priority="110">
      <formula>Q9&lt;&gt;0</formula>
    </cfRule>
    <cfRule type="expression" dxfId="107" priority="111">
      <formula>Q9=0</formula>
    </cfRule>
  </conditionalFormatting>
  <conditionalFormatting sqref="R3:AM3">
    <cfRule type="expression" dxfId="106" priority="108">
      <formula>R3&lt;&gt;0</formula>
    </cfRule>
    <cfRule type="expression" dxfId="105" priority="109">
      <formula>R3=0</formula>
    </cfRule>
  </conditionalFormatting>
  <conditionalFormatting sqref="P7">
    <cfRule type="expression" dxfId="104" priority="106">
      <formula>P7&lt;&gt;0</formula>
    </cfRule>
    <cfRule type="expression" dxfId="103" priority="107">
      <formula>P7=0</formula>
    </cfRule>
  </conditionalFormatting>
  <conditionalFormatting sqref="R7:AM7">
    <cfRule type="expression" dxfId="102" priority="102">
      <formula>R7&lt;&gt;0</formula>
    </cfRule>
    <cfRule type="expression" dxfId="101" priority="103">
      <formula>R7=0</formula>
    </cfRule>
  </conditionalFormatting>
  <conditionalFormatting sqref="Q8">
    <cfRule type="expression" dxfId="100" priority="100">
      <formula>Q8&lt;&gt;0</formula>
    </cfRule>
    <cfRule type="expression" dxfId="99" priority="101">
      <formula>Q8=0</formula>
    </cfRule>
  </conditionalFormatting>
  <conditionalFormatting sqref="L19:M19">
    <cfRule type="expression" dxfId="98" priority="99">
      <formula>$Q19&lt;&gt;0</formula>
    </cfRule>
  </conditionalFormatting>
  <conditionalFormatting sqref="L19:M19">
    <cfRule type="expression" dxfId="97" priority="97">
      <formula>$R19&lt;&gt;0</formula>
    </cfRule>
  </conditionalFormatting>
  <conditionalFormatting sqref="L19:M19">
    <cfRule type="expression" dxfId="96" priority="98">
      <formula>$AN19&lt;&gt;0</formula>
    </cfRule>
  </conditionalFormatting>
  <conditionalFormatting sqref="P2">
    <cfRule type="expression" dxfId="95" priority="95">
      <formula>P2&lt;&gt;0</formula>
    </cfRule>
    <cfRule type="expression" dxfId="94" priority="96">
      <formula>P2=0</formula>
    </cfRule>
  </conditionalFormatting>
  <conditionalFormatting sqref="Q7">
    <cfRule type="expression" dxfId="93" priority="93">
      <formula>Q7&lt;&gt;0</formula>
    </cfRule>
    <cfRule type="expression" dxfId="92" priority="94">
      <formula>Q7=0</formula>
    </cfRule>
  </conditionalFormatting>
  <conditionalFormatting sqref="AO6:BD6">
    <cfRule type="expression" dxfId="91" priority="91">
      <formula>AO6&lt;&gt;0</formula>
    </cfRule>
    <cfRule type="expression" dxfId="90" priority="92">
      <formula>AO6=0</formula>
    </cfRule>
  </conditionalFormatting>
  <conditionalFormatting sqref="AO8:AQ8 AS8:BD8">
    <cfRule type="expression" dxfId="89" priority="89">
      <formula>AO8&lt;&gt;0</formula>
    </cfRule>
    <cfRule type="expression" dxfId="88" priority="90">
      <formula>AO8=0</formula>
    </cfRule>
  </conditionalFormatting>
  <conditionalFormatting sqref="AO9 AQ9 AS9:BD9">
    <cfRule type="expression" dxfId="87" priority="87">
      <formula>AO9&lt;&gt;0</formula>
    </cfRule>
    <cfRule type="expression" dxfId="86" priority="88">
      <formula>AO9=0</formula>
    </cfRule>
  </conditionalFormatting>
  <conditionalFormatting sqref="AP7">
    <cfRule type="expression" dxfId="85" priority="83">
      <formula>AP7&lt;&gt;0</formula>
    </cfRule>
    <cfRule type="expression" dxfId="84" priority="84">
      <formula>AP7=0</formula>
    </cfRule>
  </conditionalFormatting>
  <conditionalFormatting sqref="AO7">
    <cfRule type="expression" dxfId="83" priority="85">
      <formula>AO7&lt;&gt;0</formula>
    </cfRule>
    <cfRule type="expression" dxfId="82" priority="86">
      <formula>AO7=0</formula>
    </cfRule>
  </conditionalFormatting>
  <conditionalFormatting sqref="AP9">
    <cfRule type="expression" dxfId="81" priority="81">
      <formula>AP9&lt;&gt;0</formula>
    </cfRule>
    <cfRule type="expression" dxfId="80" priority="82">
      <formula>AP9=0</formula>
    </cfRule>
  </conditionalFormatting>
  <conditionalFormatting sqref="AP2">
    <cfRule type="expression" dxfId="79" priority="79">
      <formula>AP2&lt;&gt;0</formula>
    </cfRule>
    <cfRule type="expression" dxfId="78" priority="80">
      <formula>AP2=0</formula>
    </cfRule>
  </conditionalFormatting>
  <conditionalFormatting sqref="AO4:AP4">
    <cfRule type="expression" dxfId="77" priority="77">
      <formula>AO4&lt;&gt;0</formula>
    </cfRule>
    <cfRule type="expression" dxfId="76" priority="78">
      <formula>AO4=0</formula>
    </cfRule>
  </conditionalFormatting>
  <conditionalFormatting sqref="AO5">
    <cfRule type="expression" dxfId="75" priority="75">
      <formula>AO5&lt;&gt;0</formula>
    </cfRule>
    <cfRule type="expression" dxfId="74" priority="76">
      <formula>AO5=0</formula>
    </cfRule>
  </conditionalFormatting>
  <conditionalFormatting sqref="AP3">
    <cfRule type="expression" dxfId="73" priority="71">
      <formula>AP3&lt;&gt;0</formula>
    </cfRule>
    <cfRule type="expression" dxfId="72" priority="72">
      <formula>AP3=0</formula>
    </cfRule>
  </conditionalFormatting>
  <conditionalFormatting sqref="AO3">
    <cfRule type="expression" dxfId="71" priority="73">
      <formula>AO3&lt;&gt;0</formula>
    </cfRule>
    <cfRule type="expression" dxfId="70" priority="74">
      <formula>AO3=0</formula>
    </cfRule>
  </conditionalFormatting>
  <conditionalFormatting sqref="AP5">
    <cfRule type="expression" dxfId="69" priority="69">
      <formula>AP5&lt;&gt;0</formula>
    </cfRule>
    <cfRule type="expression" dxfId="68" priority="70">
      <formula>AP5=0</formula>
    </cfRule>
  </conditionalFormatting>
  <conditionalFormatting sqref="AR2">
    <cfRule type="expression" dxfId="67" priority="67">
      <formula>AR2&lt;&gt;0</formula>
    </cfRule>
    <cfRule type="expression" dxfId="66" priority="68">
      <formula>AR2=0</formula>
    </cfRule>
  </conditionalFormatting>
  <conditionalFormatting sqref="AR9">
    <cfRule type="expression" dxfId="65" priority="65">
      <formula>AR9&lt;&gt;0</formula>
    </cfRule>
    <cfRule type="expression" dxfId="64" priority="66">
      <formula>AR9=0</formula>
    </cfRule>
  </conditionalFormatting>
  <conditionalFormatting sqref="AS3:BD3">
    <cfRule type="expression" dxfId="63" priority="63">
      <formula>AS3&lt;&gt;0</formula>
    </cfRule>
    <cfRule type="expression" dxfId="62" priority="64">
      <formula>AS3=0</formula>
    </cfRule>
  </conditionalFormatting>
  <conditionalFormatting sqref="AQ7">
    <cfRule type="expression" dxfId="61" priority="61">
      <formula>AQ7&lt;&gt;0</formula>
    </cfRule>
    <cfRule type="expression" dxfId="60" priority="62">
      <formula>AQ7=0</formula>
    </cfRule>
  </conditionalFormatting>
  <conditionalFormatting sqref="AQ4">
    <cfRule type="expression" dxfId="59" priority="59">
      <formula>AQ4&lt;&gt;0</formula>
    </cfRule>
    <cfRule type="expression" dxfId="58" priority="60">
      <formula>AQ4=0</formula>
    </cfRule>
  </conditionalFormatting>
  <conditionalFormatting sqref="AS7:BD7">
    <cfRule type="expression" dxfId="57" priority="57">
      <formula>AS7&lt;&gt;0</formula>
    </cfRule>
    <cfRule type="expression" dxfId="56" priority="58">
      <formula>AS7=0</formula>
    </cfRule>
  </conditionalFormatting>
  <conditionalFormatting sqref="AR8">
    <cfRule type="expression" dxfId="55" priority="55">
      <formula>AR8&lt;&gt;0</formula>
    </cfRule>
    <cfRule type="expression" dxfId="54" priority="56">
      <formula>AR8=0</formula>
    </cfRule>
  </conditionalFormatting>
  <conditionalFormatting sqref="AQ2">
    <cfRule type="expression" dxfId="53" priority="53">
      <formula>AQ2&lt;&gt;0</formula>
    </cfRule>
    <cfRule type="expression" dxfId="52" priority="54">
      <formula>AQ2=0</formula>
    </cfRule>
  </conditionalFormatting>
  <conditionalFormatting sqref="AR7">
    <cfRule type="expression" dxfId="51" priority="51">
      <formula>AR7&lt;&gt;0</formula>
    </cfRule>
    <cfRule type="expression" dxfId="50" priority="52">
      <formula>AR7=0</formula>
    </cfRule>
  </conditionalFormatting>
  <conditionalFormatting sqref="BE6:BI6">
    <cfRule type="expression" dxfId="49" priority="49">
      <formula>BE6&lt;&gt;0</formula>
    </cfRule>
    <cfRule type="expression" dxfId="48" priority="50">
      <formula>BE6=0</formula>
    </cfRule>
  </conditionalFormatting>
  <conditionalFormatting sqref="BE8:BG8 BI8">
    <cfRule type="expression" dxfId="47" priority="47">
      <formula>BE8&lt;&gt;0</formula>
    </cfRule>
    <cfRule type="expression" dxfId="46" priority="48">
      <formula>BE8=0</formula>
    </cfRule>
  </conditionalFormatting>
  <conditionalFormatting sqref="BE9 BG9 BI9">
    <cfRule type="expression" dxfId="45" priority="45">
      <formula>BE9&lt;&gt;0</formula>
    </cfRule>
    <cfRule type="expression" dxfId="44" priority="46">
      <formula>BE9=0</formula>
    </cfRule>
  </conditionalFormatting>
  <conditionalFormatting sqref="BF7">
    <cfRule type="expression" dxfId="43" priority="41">
      <formula>BF7&lt;&gt;0</formula>
    </cfRule>
    <cfRule type="expression" dxfId="42" priority="42">
      <formula>BF7=0</formula>
    </cfRule>
  </conditionalFormatting>
  <conditionalFormatting sqref="BE7">
    <cfRule type="expression" dxfId="41" priority="43">
      <formula>BE7&lt;&gt;0</formula>
    </cfRule>
    <cfRule type="expression" dxfId="40" priority="44">
      <formula>BE7=0</formula>
    </cfRule>
  </conditionalFormatting>
  <conditionalFormatting sqref="BF9">
    <cfRule type="expression" dxfId="39" priority="39">
      <formula>BF9&lt;&gt;0</formula>
    </cfRule>
    <cfRule type="expression" dxfId="38" priority="40">
      <formula>BF9=0</formula>
    </cfRule>
  </conditionalFormatting>
  <conditionalFormatting sqref="BF2">
    <cfRule type="expression" dxfId="37" priority="37">
      <formula>BF2&lt;&gt;0</formula>
    </cfRule>
    <cfRule type="expression" dxfId="36" priority="38">
      <formula>BF2=0</formula>
    </cfRule>
  </conditionalFormatting>
  <conditionalFormatting sqref="BE4:BF4">
    <cfRule type="expression" dxfId="35" priority="35">
      <formula>BE4&lt;&gt;0</formula>
    </cfRule>
    <cfRule type="expression" dxfId="34" priority="36">
      <formula>BE4=0</formula>
    </cfRule>
  </conditionalFormatting>
  <conditionalFormatting sqref="BE5">
    <cfRule type="expression" dxfId="33" priority="33">
      <formula>BE5&lt;&gt;0</formula>
    </cfRule>
    <cfRule type="expression" dxfId="32" priority="34">
      <formula>BE5=0</formula>
    </cfRule>
  </conditionalFormatting>
  <conditionalFormatting sqref="BF3">
    <cfRule type="expression" dxfId="31" priority="29">
      <formula>BF3&lt;&gt;0</formula>
    </cfRule>
    <cfRule type="expression" dxfId="30" priority="30">
      <formula>BF3=0</formula>
    </cfRule>
  </conditionalFormatting>
  <conditionalFormatting sqref="BE3">
    <cfRule type="expression" dxfId="29" priority="31">
      <formula>BE3&lt;&gt;0</formula>
    </cfRule>
    <cfRule type="expression" dxfId="28" priority="32">
      <formula>BE3=0</formula>
    </cfRule>
  </conditionalFormatting>
  <conditionalFormatting sqref="BF5">
    <cfRule type="expression" dxfId="27" priority="27">
      <formula>BF5&lt;&gt;0</formula>
    </cfRule>
    <cfRule type="expression" dxfId="26" priority="28">
      <formula>BF5=0</formula>
    </cfRule>
  </conditionalFormatting>
  <conditionalFormatting sqref="BH2">
    <cfRule type="expression" dxfId="25" priority="25">
      <formula>BH2&lt;&gt;0</formula>
    </cfRule>
    <cfRule type="expression" dxfId="24" priority="26">
      <formula>BH2=0</formula>
    </cfRule>
  </conditionalFormatting>
  <conditionalFormatting sqref="BH9">
    <cfRule type="expression" dxfId="23" priority="23">
      <formula>BH9&lt;&gt;0</formula>
    </cfRule>
    <cfRule type="expression" dxfId="22" priority="24">
      <formula>BH9=0</formula>
    </cfRule>
  </conditionalFormatting>
  <conditionalFormatting sqref="BI3">
    <cfRule type="expression" dxfId="21" priority="21">
      <formula>BI3&lt;&gt;0</formula>
    </cfRule>
    <cfRule type="expression" dxfId="20" priority="22">
      <formula>BI3=0</formula>
    </cfRule>
  </conditionalFormatting>
  <conditionalFormatting sqref="BG7">
    <cfRule type="expression" dxfId="19" priority="19">
      <formula>BG7&lt;&gt;0</formula>
    </cfRule>
    <cfRule type="expression" dxfId="18" priority="20">
      <formula>BG7=0</formula>
    </cfRule>
  </conditionalFormatting>
  <conditionalFormatting sqref="BG4">
    <cfRule type="expression" dxfId="17" priority="17">
      <formula>BG4&lt;&gt;0</formula>
    </cfRule>
    <cfRule type="expression" dxfId="16" priority="18">
      <formula>BG4=0</formula>
    </cfRule>
  </conditionalFormatting>
  <conditionalFormatting sqref="BI7">
    <cfRule type="expression" dxfId="15" priority="15">
      <formula>BI7&lt;&gt;0</formula>
    </cfRule>
    <cfRule type="expression" dxfId="14" priority="16">
      <formula>BI7=0</formula>
    </cfRule>
  </conditionalFormatting>
  <conditionalFormatting sqref="BH8">
    <cfRule type="expression" dxfId="13" priority="13">
      <formula>BH8&lt;&gt;0</formula>
    </cfRule>
    <cfRule type="expression" dxfId="12" priority="14">
      <formula>BH8=0</formula>
    </cfRule>
  </conditionalFormatting>
  <conditionalFormatting sqref="BG2">
    <cfRule type="expression" dxfId="11" priority="11">
      <formula>BG2&lt;&gt;0</formula>
    </cfRule>
    <cfRule type="expression" dxfId="10" priority="12">
      <formula>BG2=0</formula>
    </cfRule>
  </conditionalFormatting>
  <conditionalFormatting sqref="BH7">
    <cfRule type="expression" dxfId="9" priority="9">
      <formula>BH7&lt;&gt;0</formula>
    </cfRule>
    <cfRule type="expression" dxfId="8" priority="10">
      <formula>BH7=0</formula>
    </cfRule>
  </conditionalFormatting>
  <conditionalFormatting sqref="N2">
    <cfRule type="expression" dxfId="7" priority="7">
      <formula>N2&lt;&gt;0</formula>
    </cfRule>
    <cfRule type="expression" dxfId="6" priority="8">
      <formula>N2=0</formula>
    </cfRule>
  </conditionalFormatting>
  <conditionalFormatting sqref="P4">
    <cfRule type="expression" dxfId="5" priority="5">
      <formula>P4&lt;&gt;0</formula>
    </cfRule>
    <cfRule type="expression" dxfId="4" priority="6">
      <formula>P4=0</formula>
    </cfRule>
  </conditionalFormatting>
  <conditionalFormatting sqref="AO2">
    <cfRule type="expression" dxfId="3" priority="3">
      <formula>AO2&lt;&gt;0</formula>
    </cfRule>
    <cfRule type="expression" dxfId="2" priority="4">
      <formula>AO2=0</formula>
    </cfRule>
  </conditionalFormatting>
  <conditionalFormatting sqref="BE2">
    <cfRule type="expression" dxfId="1" priority="1">
      <formula>BE2&lt;&gt;0</formula>
    </cfRule>
    <cfRule type="expression" dxfId="0" priority="2">
      <formula>BE2=0</formula>
    </cfRule>
  </conditionalFormatting>
  <dataValidations count="1">
    <dataValidation type="list" allowBlank="1" showInputMessage="1" showErrorMessage="1" sqref="N2:BI9" xr:uid="{759EB983-2959-42B5-A1C0-605A775B49FF}">
      <formula1>$N$13:$N$17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D7333-DB08-4241-8CCF-53D61A6A8F59}">
  <sheetPr codeName="Sheet9"/>
  <dimension ref="A1:F7"/>
  <sheetViews>
    <sheetView workbookViewId="0">
      <selection sqref="A1:A7"/>
    </sheetView>
  </sheetViews>
  <sheetFormatPr defaultRowHeight="14.4"/>
  <sheetData>
    <row r="1" spans="1:6">
      <c r="A1">
        <f>F1</f>
        <v>11</v>
      </c>
      <c r="F1">
        <v>11</v>
      </c>
    </row>
    <row r="2" spans="1:6">
      <c r="A2">
        <f t="shared" ref="A2:A7" si="0">F2</f>
        <v>2</v>
      </c>
      <c r="F2">
        <v>2</v>
      </c>
    </row>
    <row r="3" spans="1:6">
      <c r="A3">
        <f t="shared" si="0"/>
        <v>2</v>
      </c>
      <c r="F3">
        <v>2</v>
      </c>
    </row>
    <row r="4" spans="1:6">
      <c r="A4">
        <f t="shared" si="0"/>
        <v>2</v>
      </c>
      <c r="F4">
        <v>2</v>
      </c>
    </row>
    <row r="5" spans="1:6">
      <c r="A5">
        <f t="shared" si="0"/>
        <v>3</v>
      </c>
      <c r="F5">
        <v>3</v>
      </c>
    </row>
    <row r="6" spans="1:6">
      <c r="A6">
        <f t="shared" si="0"/>
        <v>369565</v>
      </c>
      <c r="F6">
        <v>369565</v>
      </c>
    </row>
    <row r="7" spans="1:6">
      <c r="A7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Sheet2</vt:lpstr>
      <vt:lpstr>AutoFilter</vt:lpstr>
      <vt:lpstr>Formula_Property</vt:lpstr>
      <vt:lpstr>Count_value_base_desc.</vt:lpstr>
      <vt:lpstr>Count_value_base_date</vt:lpstr>
      <vt:lpstr>Count_value_base_date_desc.</vt:lpstr>
      <vt:lpstr>Test_Data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Delos Santos, Jasond</dc:creator>
  <cp:lastModifiedBy>Delos Santos, Jasond</cp:lastModifiedBy>
  <dcterms:created xsi:type="dcterms:W3CDTF">2021-04-23T08:53:47Z</dcterms:created>
  <dcterms:modified xsi:type="dcterms:W3CDTF">2021-05-11T05:08:51Z</dcterms:modified>
</cp:coreProperties>
</file>